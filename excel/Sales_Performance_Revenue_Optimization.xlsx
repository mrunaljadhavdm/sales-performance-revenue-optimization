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jadha\Desktop\Project\Sales Performance &amp; Revenue Optimization Analysis\"/>
    </mc:Choice>
  </mc:AlternateContent>
  <xr:revisionPtr revIDLastSave="0" documentId="13_ncr:1_{0E2CC772-7A44-4F36-9D7E-53C7872FDB54}" xr6:coauthVersionLast="47" xr6:coauthVersionMax="47" xr10:uidLastSave="{00000000-0000-0000-0000-000000000000}"/>
  <bookViews>
    <workbookView xWindow="-108" yWindow="-108" windowWidth="23256" windowHeight="12456" activeTab="4" xr2:uid="{00000000-000D-0000-FFFF-FFFF00000000}"/>
  </bookViews>
  <sheets>
    <sheet name="Sales_Data" sheetId="1" r:id="rId1"/>
    <sheet name="Supporting_pivots" sheetId="3" r:id="rId2"/>
    <sheet name="Sales_Dashboard" sheetId="4" r:id="rId3"/>
    <sheet name="Business_Questions" sheetId="10" r:id="rId4"/>
    <sheet name="Statistical_Analysis" sheetId="7" r:id="rId5"/>
  </sheets>
  <definedNames>
    <definedName name="_xlnm._FilterDatabase" localSheetId="0" hidden="1">Sales_Data!$A$1:$L$2001</definedName>
    <definedName name="Slicer_Customer_Type">#N/A</definedName>
    <definedName name="Slicer_Product_Category">#N/A</definedName>
    <definedName name="Slicer_Region">#N/A</definedName>
    <definedName name="Slicer_Sales_Channel">#N/A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7" l="1"/>
  <c r="E9" i="7"/>
  <c r="E8" i="7"/>
  <c r="E7" i="7"/>
  <c r="E6" i="7"/>
  <c r="E5" i="7"/>
  <c r="E4" i="7"/>
  <c r="D10" i="7"/>
  <c r="D9" i="7"/>
  <c r="D8" i="7"/>
  <c r="D7" i="7"/>
  <c r="D6" i="7"/>
  <c r="D5" i="7"/>
  <c r="D4" i="7"/>
  <c r="C10" i="7"/>
  <c r="C9" i="7"/>
  <c r="C8" i="7"/>
  <c r="C7" i="7"/>
  <c r="C6" i="7"/>
  <c r="C5" i="7"/>
  <c r="C4" i="7"/>
  <c r="B10" i="7"/>
  <c r="B9" i="7"/>
  <c r="B8" i="7"/>
  <c r="B7" i="7"/>
  <c r="B6" i="7"/>
  <c r="B5" i="7"/>
  <c r="B4" i="7"/>
  <c r="H5" i="7"/>
  <c r="H4" i="7"/>
  <c r="H3" i="7"/>
  <c r="H8" i="7"/>
  <c r="H11" i="7" s="1"/>
  <c r="H10" i="7"/>
  <c r="H9" i="7"/>
  <c r="Y2" i="4"/>
  <c r="E11" i="7" l="1"/>
  <c r="C11" i="7"/>
  <c r="D11" i="7"/>
  <c r="B11" i="7"/>
  <c r="H16" i="7" s="1"/>
  <c r="H17" i="7" s="1"/>
  <c r="H18" i="7" s="1"/>
</calcChain>
</file>

<file path=xl/sharedStrings.xml><?xml version="1.0" encoding="utf-8"?>
<sst xmlns="http://schemas.openxmlformats.org/spreadsheetml/2006/main" count="14144" uniqueCount="2158">
  <si>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</si>
  <si>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</si>
  <si>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</si>
  <si>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</si>
  <si>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</si>
  <si>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</si>
  <si>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</si>
  <si>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</si>
  <si>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</si>
  <si>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</si>
  <si>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</si>
  <si>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</si>
  <si>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</si>
  <si>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</si>
  <si>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</si>
  <si>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</si>
  <si>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</si>
  <si>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</si>
  <si>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</si>
  <si>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</si>
  <si>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</si>
  <si>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</si>
  <si>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</si>
  <si>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</si>
  <si>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</si>
  <si>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</si>
  <si>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</si>
  <si>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</si>
  <si>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</si>
  <si>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</si>
  <si>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</si>
  <si>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</si>
  <si>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</si>
  <si>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</si>
  <si>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</si>
  <si>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</si>
  <si>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</si>
  <si>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</si>
  <si>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</si>
  <si>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</si>
  <si>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</si>
  <si>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</si>
  <si>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</si>
  <si>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</si>
  <si>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</si>
  <si>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</si>
  <si>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</si>
  <si>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</si>
  <si>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</si>
  <si>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</si>
  <si>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</si>
  <si>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</si>
  <si>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</si>
  <si>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</si>
  <si>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</si>
  <si>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</si>
  <si>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</si>
  <si>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</si>
  <si>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</si>
  <si>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</si>
  <si>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</si>
  <si>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</si>
  <si>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</si>
  <si>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</si>
  <si>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</si>
  <si>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</si>
  <si>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</si>
  <si>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</si>
  <si>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</si>
  <si>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</si>
  <si>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</si>
  <si>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</si>
  <si>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</si>
  <si>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</si>
  <si>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</si>
  <si>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</si>
  <si>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</si>
  <si>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</si>
  <si>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</si>
  <si>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</si>
  <si>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</si>
  <si>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</si>
  <si>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</si>
  <si>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</si>
  <si>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</si>
  <si>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</si>
  <si>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</si>
  <si>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</si>
  <si>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</si>
  <si>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</si>
  <si>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</si>
  <si>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</si>
  <si>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</si>
  <si>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</si>
  <si>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</si>
  <si>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</si>
  <si>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</si>
  <si>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</si>
  <si>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</si>
  <si>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</si>
  <si>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</si>
  <si>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</si>
  <si>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</si>
  <si>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</si>
  <si>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</si>
  <si>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</si>
  <si>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</si>
  <si>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</si>
  <si>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</si>
  <si>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</si>
  <si>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</si>
  <si>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</si>
  <si>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</si>
  <si>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</si>
  <si>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</si>
  <si>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</si>
  <si>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</si>
  <si>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</si>
  <si>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</si>
  <si>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</si>
  <si>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</si>
  <si>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</si>
  <si>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</si>
  <si>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</si>
  <si>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</si>
  <si>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</si>
  <si>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</si>
  <si>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</si>
  <si>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</si>
  <si>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</si>
  <si>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</si>
  <si>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</si>
  <si>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</si>
  <si>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</si>
  <si>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</si>
  <si>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</si>
  <si>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</si>
  <si>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</si>
  <si>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</si>
  <si>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</si>
  <si>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</si>
  <si>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</si>
  <si>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</si>
  <si>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</si>
  <si>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</si>
  <si>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</si>
  <si>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</si>
  <si>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</si>
  <si>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</si>
  <si>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</si>
  <si>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</si>
  <si>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</si>
  <si>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</si>
  <si>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</si>
  <si>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</si>
  <si>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</si>
  <si>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</si>
  <si>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</si>
  <si>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</si>
  <si>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</si>
  <si>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</si>
  <si>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</si>
  <si>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</si>
  <si>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</si>
  <si>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</si>
  <si>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</si>
  <si>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</si>
  <si>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</si>
  <si>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</si>
  <si>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</si>
  <si>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</si>
  <si>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</si>
  <si>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</si>
  <si>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</si>
  <si>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</si>
  <si>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</si>
  <si>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</si>
  <si>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</si>
  <si>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</si>
  <si>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</si>
  <si>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</si>
  <si>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</si>
  <si>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</si>
  <si>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</si>
  <si>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</si>
  <si>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</si>
  <si>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</si>
  <si>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</si>
  <si>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</si>
  <si>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</si>
  <si>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</si>
  <si>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</si>
  <si>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</si>
  <si>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</si>
  <si>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</si>
  <si>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</si>
  <si>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</si>
  <si>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</si>
  <si>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</si>
  <si>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</si>
  <si>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</si>
  <si>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</si>
  <si>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</si>
  <si>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</si>
  <si>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</si>
  <si>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</si>
  <si>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</si>
  <si>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</si>
  <si>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</si>
  <si>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</si>
  <si>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</si>
  <si>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</si>
  <si>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</si>
  <si>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</si>
  <si>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</si>
  <si>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</si>
  <si>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</si>
  <si>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</si>
  <si>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</si>
  <si>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</si>
  <si>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</si>
  <si>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</si>
  <si>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</si>
  <si>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</si>
  <si>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</si>
  <si>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</si>
  <si>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</si>
  <si>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</si>
  <si>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</si>
  <si>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</si>
  <si>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</si>
  <si>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</si>
  <si>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</si>
  <si>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</si>
  <si>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</si>
  <si>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</si>
  <si>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</si>
  <si>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</si>
  <si>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</si>
  <si>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</si>
  <si>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</si>
  <si>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</si>
  <si>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</si>
  <si>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</si>
  <si>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</si>
  <si>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</si>
  <si>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</si>
  <si>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</si>
  <si>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</si>
  <si>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</si>
  <si>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</si>
  <si>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</si>
  <si>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</si>
  <si>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</si>
  <si>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</si>
  <si>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</si>
  <si>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</si>
  <si>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</si>
  <si>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</si>
  <si>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</si>
  <si>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</si>
  <si>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</si>
  <si>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</si>
  <si>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</si>
  <si>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</si>
  <si>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</si>
  <si>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</si>
  <si>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</si>
  <si>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</si>
  <si>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</si>
  <si>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</si>
  <si>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</si>
  <si>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</si>
  <si>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</si>
  <si>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</si>
  <si>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</si>
  <si>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</si>
  <si>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</si>
  <si>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</si>
  <si>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</si>
  <si>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</si>
  <si>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</si>
  <si>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</si>
  <si>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</si>
  <si>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</si>
  <si>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</si>
  <si>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</si>
  <si>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</si>
  <si>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</si>
  <si>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</si>
  <si>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</si>
  <si>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</si>
  <si>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</si>
  <si>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</si>
  <si>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</si>
  <si>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</si>
  <si>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</si>
  <si>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</si>
  <si>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</si>
  <si>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</si>
  <si>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</si>
  <si>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</si>
  <si>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</si>
  <si>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</si>
  <si>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</si>
  <si>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</si>
  <si>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</si>
  <si>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</si>
  <si>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</si>
  <si>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</si>
  <si>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</si>
  <si>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</si>
  <si>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</si>
  <si>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</si>
  <si>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</si>
  <si>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</si>
  <si>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</si>
  <si>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</si>
  <si>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</si>
  <si>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</si>
  <si>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</si>
  <si>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</si>
  <si>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</si>
  <si>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</si>
  <si>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</si>
  <si>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</si>
  <si>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</si>
  <si>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</si>
  <si>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</si>
  <si>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</si>
  <si>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</si>
  <si>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</si>
  <si>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</si>
  <si>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</si>
  <si>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</si>
  <si>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</si>
  <si>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</si>
  <si>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</si>
  <si>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</si>
  <si>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</si>
  <si>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</si>
  <si>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</si>
  <si>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</si>
  <si>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</si>
  <si>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</si>
  <si>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</si>
  <si>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</si>
  <si>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</si>
  <si>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</si>
  <si>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</si>
  <si>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</si>
  <si>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</si>
  <si>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</si>
  <si>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</si>
  <si>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</si>
  <si>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</si>
  <si>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</si>
  <si>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</si>
  <si>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</si>
  <si>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</si>
  <si>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</si>
  <si>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</si>
  <si>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</si>
  <si>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</si>
  <si>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</si>
  <si>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</si>
  <si>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</si>
  <si>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</si>
  <si>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</si>
  <si>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</si>
  <si>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</si>
  <si>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</si>
  <si>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</si>
  <si>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</si>
  <si>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</si>
  <si>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</si>
  <si>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</si>
  <si>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</si>
  <si>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</si>
  <si>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</si>
  <si>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</si>
  <si>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</si>
  <si>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</si>
  <si>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</si>
  <si>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</si>
  <si>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</si>
  <si>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</si>
  <si>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</si>
  <si>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</si>
  <si>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</si>
  <si>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</si>
  <si>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</si>
  <si>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</si>
  <si>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</si>
  <si>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</si>
  <si>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</si>
  <si>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</si>
  <si>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</si>
  <si>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</si>
  <si>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</si>
  <si>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</si>
  <si>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</si>
  <si>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</si>
  <si>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</si>
  <si>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</si>
  <si>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</si>
  <si>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</si>
  <si>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</si>
  <si>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</si>
  <si>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</si>
  <si>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</si>
  <si>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</si>
  <si>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</si>
  <si>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</si>
  <si>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</si>
  <si>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</si>
  <si>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</si>
  <si>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</si>
  <si>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</si>
  <si>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</si>
  <si>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</si>
  <si>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</si>
  <si>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</si>
  <si>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</si>
  <si>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</si>
  <si>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</si>
  <si>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</si>
  <si>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</si>
  <si>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</si>
  <si>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</si>
  <si>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</si>
  <si>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</si>
  <si>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</si>
  <si>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</si>
  <si>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</si>
  <si>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</si>
  <si>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</si>
  <si>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</si>
  <si>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</si>
  <si>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</si>
  <si>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</si>
  <si>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</si>
  <si>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</si>
  <si>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</si>
  <si>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</si>
  <si>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</si>
  <si>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</si>
  <si>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</si>
  <si>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</si>
  <si>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</si>
  <si>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</si>
  <si>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</si>
  <si>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</si>
  <si>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</si>
  <si>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</si>
  <si>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</si>
  <si>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</si>
  <si>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</si>
  <si>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</si>
  <si>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</si>
  <si>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</si>
  <si>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</si>
  <si>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</si>
  <si>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</si>
  <si>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</si>
  <si>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</si>
  <si>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</si>
  <si>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</si>
  <si>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</si>
  <si>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</si>
  <si>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</si>
  <si>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</si>
  <si>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</si>
  <si>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</si>
  <si>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</si>
  <si>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</si>
  <si>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</si>
  <si>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</si>
  <si>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</si>
  <si>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</si>
  <si>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</si>
  <si>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</si>
  <si>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</si>
  <si>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</si>
  <si>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</si>
  <si>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</si>
  <si>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</si>
  <si>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</si>
  <si>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</si>
  <si>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</si>
  <si>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</si>
  <si>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</si>
  <si>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</si>
  <si>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</si>
  <si>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</si>
  <si>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</si>
  <si>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</si>
  <si>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</si>
  <si>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</si>
  <si>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</si>
  <si>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</si>
  <si>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</si>
  <si>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</si>
  <si>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</si>
  <si>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</si>
  <si>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</si>
  <si>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</si>
  <si>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</si>
  <si>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</si>
  <si>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</si>
  <si>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</si>
  <si>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</si>
  <si>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</si>
  <si>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</si>
  <si>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</si>
  <si>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</si>
  <si>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</si>
  <si>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</si>
  <si>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</si>
  <si>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</si>
  <si>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</si>
  <si>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</si>
  <si>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</si>
  <si>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</si>
  <si>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</si>
  <si>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</si>
  <si>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</si>
  <si>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</si>
  <si>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</si>
  <si>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</si>
  <si>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</si>
  <si>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</si>
  <si>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</si>
  <si>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</si>
  <si>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</si>
  <si>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</si>
  <si>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</si>
  <si>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</si>
  <si>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</si>
  <si>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</si>
  <si>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</si>
  <si>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</si>
  <si>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</si>
  <si>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</si>
  <si>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</si>
  <si>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</si>
  <si>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</si>
  <si>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</si>
  <si>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</si>
  <si>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</si>
  <si>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</si>
  <si>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</si>
  <si>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</si>
  <si>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</si>
  <si>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</si>
  <si>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</si>
  <si>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</si>
  <si>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</si>
  <si>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</si>
  <si>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</si>
  <si>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</si>
  <si>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</si>
  <si>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</si>
  <si>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</si>
  <si>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</si>
  <si>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</si>
  <si>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</si>
  <si>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</si>
  <si>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</si>
  <si>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</si>
  <si>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</si>
  <si>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</si>
  <si>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</si>
  <si>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</si>
  <si>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</si>
  <si>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</si>
  <si>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</si>
  <si>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</si>
  <si>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</si>
  <si>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</si>
  <si>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</si>
  <si>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</si>
  <si>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</si>
  <si>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</si>
  <si>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</si>
  <si>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</si>
  <si>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</si>
  <si>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</si>
  <si>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</si>
  <si>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</si>
  <si>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</si>
  <si>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</si>
  <si>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</si>
  <si>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</si>
  <si>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</si>
  <si>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</si>
  <si>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</si>
  <si>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</si>
  <si>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</si>
  <si>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</si>
  <si>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</si>
  <si>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</si>
  <si>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</si>
  <si>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</si>
  <si>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</si>
  <si>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</si>
  <si>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</si>
  <si>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</si>
  <si>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</si>
  <si>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</si>
  <si>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</si>
  <si>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</si>
  <si>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</si>
  <si>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</si>
  <si>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</si>
  <si>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</si>
  <si>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</si>
  <si>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</si>
  <si>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</si>
  <si>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</si>
  <si>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</si>
  <si>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</si>
  <si>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</si>
  <si>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</si>
  <si>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</si>
  <si>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</si>
  <si>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</si>
  <si>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</si>
  <si>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</si>
  <si>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</si>
  <si>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</si>
  <si>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</si>
  <si>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</si>
  <si>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</si>
  <si>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</si>
  <si>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</si>
  <si>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</si>
  <si>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</si>
  <si>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</si>
  <si>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</si>
  <si>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</si>
  <si>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</si>
  <si>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</si>
  <si>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</si>
  <si>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</si>
  <si>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</si>
  <si>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</si>
  <si>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</si>
  <si>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</si>
  <si>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</si>
  <si>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</si>
  <si>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</si>
  <si>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</si>
  <si>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</si>
  <si>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</si>
  <si>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</si>
  <si>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</si>
  <si>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</si>
  <si>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</si>
  <si>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</si>
  <si>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</si>
  <si>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</si>
  <si>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</si>
  <si>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</si>
  <si>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</si>
  <si>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</si>
  <si>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</si>
  <si>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</si>
  <si>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</si>
  <si>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</si>
  <si>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</si>
  <si>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</si>
  <si>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</si>
  <si>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</si>
  <si>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</si>
  <si>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</si>
  <si>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</si>
  <si>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</si>
  <si>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</si>
  <si>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</si>
  <si>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</si>
  <si>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</si>
  <si>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</si>
  <si>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</si>
  <si>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</si>
  <si>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</si>
  <si>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</si>
  <si>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</si>
  <si>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</si>
  <si>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</si>
  <si>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</si>
  <si>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</si>
  <si>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</si>
  <si>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</si>
  <si>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</si>
  <si>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</si>
  <si>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</si>
  <si>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</si>
  <si>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</si>
  <si>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</si>
  <si>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</si>
  <si>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</si>
  <si>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</si>
  <si>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</si>
  <si>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</si>
  <si>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</si>
  <si>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</si>
  <si>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</si>
  <si>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</si>
  <si>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</si>
  <si>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</si>
  <si>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</si>
  <si>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</si>
  <si>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</si>
  <si>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</si>
  <si>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</si>
  <si>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</si>
  <si>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</si>
  <si>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</si>
  <si>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</si>
  <si>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</si>
  <si>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</si>
  <si>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</si>
  <si>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</si>
  <si>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</si>
  <si>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</si>
  <si>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</si>
  <si>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</si>
  <si>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</si>
  <si>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</si>
  <si>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</si>
  <si>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</si>
  <si>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</si>
  <si>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</si>
  <si>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</si>
  <si>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</si>
  <si>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</si>
  <si>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</si>
  <si>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</si>
  <si>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</si>
  <si>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</si>
  <si>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</si>
  <si>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</si>
  <si>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</si>
  <si>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</si>
  <si>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</si>
  <si>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</si>
  <si>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</si>
  <si>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</si>
  <si>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</si>
  <si>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</si>
  <si>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</si>
  <si>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</si>
  <si>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</si>
  <si>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</si>
  <si>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</si>
  <si>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</si>
  <si>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</si>
  <si>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</si>
  <si>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</si>
  <si>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</si>
  <si>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</si>
  <si>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</si>
  <si>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</si>
  <si>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</si>
  <si>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</si>
  <si>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</si>
  <si>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</si>
  <si>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</si>
  <si>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</si>
  <si>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</si>
  <si>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</si>
  <si>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</si>
  <si>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</si>
  <si>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</si>
  <si>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</si>
  <si>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</si>
  <si>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</si>
  <si>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</si>
  <si>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</si>
  <si>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</si>
  <si>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</si>
  <si>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</si>
  <si>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</si>
  <si>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</si>
  <si>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</si>
  <si>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</si>
  <si>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</si>
  <si>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</si>
  <si>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</si>
  <si>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</si>
  <si>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</si>
  <si>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</si>
  <si>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</si>
  <si>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</si>
  <si>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</si>
  <si>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</si>
  <si>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</si>
  <si>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</si>
  <si>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</si>
  <si>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</si>
  <si>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</si>
  <si>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</si>
  <si>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</si>
  <si>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</si>
  <si>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</si>
  <si>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</si>
  <si>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</si>
  <si>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</si>
  <si>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</si>
  <si>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</si>
  <si>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</si>
  <si>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</si>
  <si>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</si>
  <si>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</si>
  <si>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</si>
  <si>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</si>
  <si>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</si>
  <si>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</si>
  <si>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</si>
  <si>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</si>
  <si>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</si>
  <si>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</si>
  <si>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</si>
  <si>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</si>
  <si>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</si>
  <si>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</si>
  <si>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</si>
  <si>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</si>
  <si>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</si>
  <si>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</si>
  <si>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</si>
  <si>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</si>
  <si>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</si>
  <si>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</si>
  <si>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</si>
  <si>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</si>
  <si>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</si>
  <si>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</si>
  <si>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</si>
  <si>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</si>
  <si>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</si>
  <si>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</si>
  <si>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</si>
  <si>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</si>
  <si>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</si>
  <si>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</si>
  <si>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</si>
  <si>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</si>
  <si>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</si>
  <si>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</si>
  <si>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</si>
  <si>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</si>
  <si>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</si>
  <si>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</si>
  <si>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</si>
  <si>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</si>
  <si>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</si>
  <si>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</si>
  <si>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</si>
  <si>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</si>
  <si>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</si>
  <si>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</si>
  <si>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</si>
  <si>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</si>
  <si>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</si>
  <si>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</si>
  <si>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</si>
  <si>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</si>
  <si>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</si>
  <si>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</si>
  <si>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</si>
  <si>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</si>
  <si>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</si>
  <si>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</si>
  <si>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</si>
  <si>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</si>
  <si>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</si>
  <si>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</si>
  <si>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</si>
  <si>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</si>
  <si>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</si>
  <si>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</si>
  <si>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</si>
  <si>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</si>
  <si>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</si>
  <si>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</si>
  <si>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</si>
  <si>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</si>
  <si>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</si>
  <si>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</si>
  <si>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</si>
  <si>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</si>
  <si>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</si>
  <si>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</si>
  <si>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</si>
  <si>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</si>
  <si>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</si>
  <si>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</si>
  <si>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</si>
  <si>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</si>
  <si>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</si>
  <si>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</si>
  <si>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</si>
  <si>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</si>
  <si>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</si>
  <si>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</si>
  <si>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</si>
  <si>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</si>
  <si>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</si>
  <si>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</si>
  <si>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</si>
  <si>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</si>
  <si>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</si>
  <si>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</si>
  <si>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</si>
  <si>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</si>
  <si>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</si>
  <si>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</si>
  <si>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</si>
  <si>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</si>
  <si>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</si>
  <si>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</si>
  <si>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</si>
  <si>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</si>
  <si>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</si>
  <si>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</si>
  <si>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</si>
  <si>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</si>
  <si>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</si>
  <si>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</si>
  <si>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</si>
  <si>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</si>
  <si>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</si>
  <si>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</si>
  <si>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</si>
  <si>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</si>
  <si>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</si>
  <si>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</si>
  <si>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</si>
  <si>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</si>
  <si>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</si>
  <si>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</si>
  <si>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</si>
  <si>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</si>
  <si>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</si>
  <si>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</si>
  <si>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</si>
  <si>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</si>
  <si>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</si>
  <si>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</si>
  <si>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</si>
  <si>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</si>
  <si>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</si>
  <si>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</si>
  <si>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</si>
  <si>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</si>
  <si>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</si>
  <si>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</si>
  <si>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</si>
  <si>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</si>
  <si>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</si>
  <si>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</si>
  <si>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</si>
  <si>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</si>
  <si>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</si>
  <si>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</si>
  <si>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</si>
  <si>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</si>
  <si>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</si>
  <si>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</si>
  <si>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</si>
  <si>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</si>
  <si>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</si>
  <si>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</si>
  <si>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</si>
  <si>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</si>
  <si>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</si>
  <si>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</si>
  <si>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</si>
  <si>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</si>
  <si>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</si>
  <si>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</si>
  <si>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</si>
  <si>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</si>
  <si>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</si>
  <si>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</si>
  <si>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</si>
  <si>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</si>
  <si>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</si>
  <si>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</si>
  <si>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</si>
  <si>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</si>
  <si>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</si>
  <si>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</si>
  <si>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</si>
  <si>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</si>
  <si>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</si>
  <si>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</si>
  <si>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</si>
  <si>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</si>
  <si>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</si>
  <si>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</si>
  <si>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</si>
  <si>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</si>
  <si>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</si>
  <si>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</si>
  <si>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</si>
  <si>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</si>
  <si>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</si>
  <si>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</si>
  <si>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</si>
  <si>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</si>
  <si>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</si>
  <si>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</si>
  <si>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</si>
  <si>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</si>
  <si>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</si>
  <si>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</si>
  <si>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</si>
  <si>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</si>
  <si>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</si>
  <si>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</si>
  <si>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</si>
  <si>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</si>
  <si>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</si>
  <si>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</si>
  <si>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</si>
  <si>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</si>
  <si>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</si>
  <si>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</si>
  <si>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</si>
  <si>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</si>
  <si>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</si>
  <si>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</si>
  <si>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</si>
  <si>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</si>
  <si>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</si>
  <si>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</si>
  <si>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</si>
  <si>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</si>
  <si>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</si>
  <si>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</si>
  <si>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</si>
  <si>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</si>
  <si>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</si>
  <si>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</si>
  <si>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</si>
  <si>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</si>
  <si>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</si>
  <si>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</si>
  <si>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</si>
  <si>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</si>
  <si>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</si>
  <si>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</si>
  <si>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</si>
  <si>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</si>
  <si>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</si>
  <si>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</si>
  <si>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</si>
  <si>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</si>
  <si>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</si>
  <si>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</si>
  <si>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</si>
  <si>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</si>
  <si>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</si>
  <si>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</si>
  <si>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</si>
  <si>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</si>
  <si>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</si>
  <si>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</si>
  <si>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</si>
  <si>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</si>
  <si>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</si>
  <si>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</si>
  <si>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</si>
  <si>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</si>
  <si>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</si>
  <si>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</si>
  <si>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</si>
  <si>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</si>
  <si>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</si>
  <si>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</si>
  <si>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</si>
  <si>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</si>
  <si>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</si>
  <si>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</si>
  <si>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</si>
  <si>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</si>
  <si>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</si>
  <si>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</si>
  <si>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</si>
  <si>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</si>
  <si>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</si>
  <si>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</si>
  <si>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</si>
  <si>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</si>
  <si>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</si>
  <si>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</si>
  <si>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</si>
  <si>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</si>
  <si>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</si>
  <si>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</si>
  <si>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</si>
  <si>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</si>
  <si>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</si>
  <si>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</si>
  <si>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</si>
  <si>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</si>
  <si>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</si>
  <si>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</si>
  <si>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</si>
  <si>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</si>
  <si>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</si>
  <si>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</si>
  <si>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</si>
  <si>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</si>
  <si>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</si>
  <si>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</si>
  <si>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</si>
  <si>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</si>
  <si>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</si>
  <si>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</si>
  <si>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</si>
  <si>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</si>
  <si>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</si>
  <si>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</si>
  <si>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</si>
  <si>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</si>
  <si>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</si>
  <si>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</si>
  <si>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</si>
  <si>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</si>
  <si>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</si>
  <si>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</si>
  <si>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</si>
  <si>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</si>
  <si>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</si>
  <si>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</si>
  <si>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</si>
  <si>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</si>
  <si>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</si>
  <si>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</si>
  <si>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</si>
  <si>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</si>
  <si>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</si>
  <si>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</si>
  <si>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</si>
  <si>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</si>
  <si>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</si>
  <si>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</si>
  <si>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</si>
  <si>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</si>
  <si>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</si>
  <si>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</si>
  <si>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</si>
  <si>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</si>
  <si>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</si>
  <si>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</si>
  <si>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</si>
  <si>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</si>
  <si>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</si>
  <si>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</si>
  <si>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</si>
  <si>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</si>
  <si>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</si>
  <si>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</si>
  <si>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</si>
  <si>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</si>
  <si>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</si>
  <si>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</si>
  <si>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</si>
  <si>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</si>
  <si>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</si>
  <si>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</si>
  <si>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</si>
  <si>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</si>
  <si>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</si>
  <si>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</si>
  <si>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</si>
  <si>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</si>
  <si>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</si>
  <si>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</si>
  <si>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</si>
  <si>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</si>
  <si>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</si>
  <si>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</si>
  <si>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</si>
  <si>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</si>
  <si>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</si>
  <si>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</si>
  <si>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</si>
  <si>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</si>
  <si>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</si>
  <si>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</si>
  <si>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</si>
  <si>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</si>
  <si>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</si>
  <si>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</si>
  <si>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</si>
  <si>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</si>
  <si>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</si>
  <si>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</si>
  <si>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</si>
  <si>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</si>
  <si>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</si>
  <si>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</si>
  <si>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</si>
  <si>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</si>
  <si>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</si>
  <si>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</si>
  <si>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</si>
  <si>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</si>
  <si>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</si>
  <si>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</si>
  <si>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</si>
  <si>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</si>
  <si>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</si>
  <si>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</si>
  <si>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</si>
  <si>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</si>
  <si>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</si>
  <si>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</si>
  <si>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</si>
  <si>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</si>
  <si>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</si>
  <si>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</si>
  <si>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</si>
  <si>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</si>
  <si>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</si>
  <si>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</si>
  <si>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</si>
  <si>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</si>
  <si>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</si>
  <si>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</si>
  <si>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</si>
  <si>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</si>
  <si>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</si>
  <si>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</si>
  <si>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</si>
  <si>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</si>
  <si>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</si>
  <si>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</si>
  <si>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</si>
  <si>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</si>
  <si>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</si>
  <si>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</si>
  <si>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</si>
  <si>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</si>
  <si>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</si>
  <si>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</si>
  <si>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</si>
  <si>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</si>
  <si>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</si>
  <si>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</si>
  <si>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</si>
  <si>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</si>
  <si>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</si>
  <si>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</si>
  <si>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</si>
  <si>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</si>
  <si>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</si>
  <si>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</si>
  <si>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</si>
  <si>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</si>
  <si>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</si>
  <si>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</si>
  <si>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</si>
  <si>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</si>
  <si>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</si>
  <si>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</si>
  <si>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</si>
  <si>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</si>
  <si>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</si>
  <si>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</si>
  <si>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</si>
  <si>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</si>
  <si>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</si>
  <si>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</si>
  <si>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</si>
  <si>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</si>
  <si>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</si>
  <si>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</si>
  <si>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</si>
  <si>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</si>
  <si>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</si>
  <si>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</si>
  <si>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</si>
  <si>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</si>
  <si>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</si>
  <si>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</si>
  <si>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</si>
  <si>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</si>
  <si>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</si>
  <si>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</si>
  <si>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</si>
  <si>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</si>
  <si>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</si>
  <si>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</si>
  <si>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</si>
  <si>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</si>
  <si>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</si>
  <si>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</si>
  <si>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</si>
  <si>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</si>
  <si>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</si>
  <si>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</si>
  <si>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</si>
  <si>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</si>
  <si>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</si>
  <si>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</si>
  <si>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</si>
  <si>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</si>
  <si>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</si>
  <si>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</si>
  <si>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</si>
  <si>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</si>
  <si>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</si>
  <si>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</si>
  <si>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</si>
  <si>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</si>
  <si>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</si>
  <si>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</si>
  <si>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</si>
  <si>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</si>
  <si>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</si>
  <si>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</si>
  <si>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</si>
  <si>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</si>
  <si>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</si>
  <si>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</si>
  <si>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</si>
  <si>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</si>
  <si>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</si>
  <si>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</si>
  <si>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</si>
  <si>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</si>
  <si>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</si>
  <si>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</si>
  <si>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</si>
  <si>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</si>
  <si>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</si>
  <si>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</si>
  <si>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</si>
  <si>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</si>
  <si>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</si>
  <si>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</si>
  <si>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</si>
  <si>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</si>
  <si>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</si>
  <si>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</si>
  <si>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</si>
  <si>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</si>
  <si>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</si>
  <si>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</si>
  <si>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</si>
  <si>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</si>
  <si>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</si>
  <si>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</si>
  <si>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</si>
  <si>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</si>
  <si>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</si>
  <si>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</si>
  <si>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</si>
  <si>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</si>
  <si>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</si>
  <si>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</si>
  <si>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</si>
  <si>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</si>
  <si>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</si>
  <si>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</si>
  <si>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</si>
  <si>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</si>
  <si>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</si>
  <si>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</si>
  <si>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</si>
  <si>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</si>
  <si>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</si>
  <si>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</si>
  <si>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</si>
  <si>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</si>
  <si>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</si>
  <si>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</si>
  <si>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</si>
  <si>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</si>
  <si>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</si>
  <si>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</si>
  <si>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</si>
  <si>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</si>
  <si>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</si>
  <si>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</si>
  <si>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</si>
  <si>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</si>
  <si>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</si>
  <si>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</si>
  <si>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</si>
  <si>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</si>
  <si>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</si>
  <si>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</si>
  <si>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</si>
  <si>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</si>
  <si>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</si>
  <si>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</si>
  <si>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</si>
  <si>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</si>
  <si>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</si>
  <si>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</si>
  <si>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</si>
  <si>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</si>
  <si>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</si>
  <si>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</si>
  <si>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</si>
  <si>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</si>
  <si>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</si>
  <si>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</si>
  <si>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</si>
  <si>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</si>
  <si>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</si>
  <si>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</si>
  <si>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</si>
  <si>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</si>
  <si>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</si>
  <si>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</si>
  <si>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</si>
  <si>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</si>
  <si>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</si>
  <si>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</si>
  <si>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</si>
  <si>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</si>
  <si>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</si>
  <si>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</si>
  <si>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</si>
  <si>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</si>
  <si>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</si>
  <si>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</si>
  <si>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</si>
  <si>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</si>
  <si>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</si>
  <si>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</si>
  <si>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</si>
  <si>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</si>
  <si>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</si>
  <si>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</si>
  <si>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</si>
  <si>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</si>
  <si>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</si>
  <si>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</si>
  <si>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</si>
  <si>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</si>
  <si>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</si>
  <si>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</si>
  <si>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</si>
  <si>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</si>
  <si>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</si>
  <si>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</si>
  <si>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</si>
  <si>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</si>
  <si>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</si>
  <si>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</si>
  <si>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</si>
  <si>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</si>
  <si>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</si>
  <si>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</si>
  <si>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</si>
  <si>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</si>
  <si>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</si>
  <si>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</si>
  <si>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</si>
  <si>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</si>
  <si>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</si>
  <si>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</si>
  <si>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</si>
  <si>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</si>
  <si>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</si>
  <si>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</si>
  <si>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</si>
  <si>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</si>
  <si>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</si>
  <si>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</si>
  <si>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</si>
  <si>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</si>
  <si>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</si>
  <si>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</si>
  <si>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</si>
  <si>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</si>
  <si>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</si>
  <si>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</si>
  <si>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</si>
  <si>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</si>
  <si>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</si>
  <si>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</si>
  <si>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</si>
  <si>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</si>
  <si>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</si>
  <si>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</si>
  <si>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</si>
  <si>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</si>
  <si>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</si>
  <si>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</si>
  <si>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</si>
  <si>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</si>
  <si>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</si>
  <si>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</si>
  <si>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</si>
  <si>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</si>
  <si>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</si>
  <si>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</si>
  <si>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</si>
  <si>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</si>
  <si>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</si>
  <si>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</si>
  <si>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</si>
  <si>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</si>
  <si>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</si>
  <si>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</si>
  <si>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</si>
  <si>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</si>
  <si>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</si>
  <si>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</si>
  <si>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</si>
  <si>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</si>
  <si>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</si>
  <si>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</si>
  <si>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</si>
  <si>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</si>
  <si>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</si>
  <si>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</si>
  <si>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</si>
  <si>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</si>
  <si>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</si>
  <si>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</si>
  <si>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</si>
  <si>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</si>
  <si>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</si>
  <si>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</si>
  <si>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</si>
  <si>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</si>
  <si>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</si>
  <si>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</si>
  <si>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</si>
  <si>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</si>
  <si>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</si>
  <si>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</si>
  <si>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</si>
  <si>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</si>
  <si>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</si>
  <si>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</si>
  <si>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</si>
  <si>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</si>
  <si>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</si>
  <si>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</si>
  <si>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</si>
  <si>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</si>
  <si>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</si>
  <si>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</si>
  <si>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</si>
  <si>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</si>
  <si>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</si>
  <si>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</si>
  <si>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</si>
  <si>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</si>
  <si>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</si>
  <si>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</si>
  <si>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</si>
  <si>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</si>
  <si>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</si>
  <si>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</si>
  <si>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</si>
  <si>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</si>
  <si>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</si>
  <si>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</si>
  <si>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</si>
  <si>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</si>
  <si>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</si>
  <si>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</si>
  <si>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</si>
  <si>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</si>
  <si>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</si>
  <si>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</si>
  <si>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</si>
  <si>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</si>
  <si>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</si>
  <si>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</si>
  <si>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</si>
  <si>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</si>
  <si>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</si>
  <si>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</si>
  <si>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</si>
  <si>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</si>
  <si>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</si>
  <si>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</si>
  <si>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</si>
  <si>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</si>
  <si>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</si>
  <si>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</si>
  <si>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</si>
  <si>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</si>
  <si>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</si>
  <si>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</si>
  <si>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</si>
  <si>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</si>
  <si>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</si>
  <si>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</si>
  <si>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</si>
  <si>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</si>
  <si>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</si>
  <si>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</si>
  <si>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</si>
  <si>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</si>
  <si>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</si>
  <si>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</si>
  <si>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</si>
  <si>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</si>
  <si>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</si>
  <si>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</si>
  <si>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</si>
  <si>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</si>
  <si>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</si>
  <si>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</si>
  <si>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</si>
  <si>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</si>
  <si>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</si>
  <si>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</si>
  <si>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</si>
  <si>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</si>
  <si>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</si>
  <si>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</si>
  <si>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</si>
  <si>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</si>
  <si>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</si>
  <si>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</si>
  <si>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</si>
  <si>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</si>
  <si>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</si>
  <si>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</si>
  <si>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</si>
  <si>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</si>
  <si>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</si>
  <si>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</si>
  <si>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</si>
  <si>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</si>
  <si>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</si>
  <si>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</si>
  <si>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</si>
  <si>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</si>
  <si>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</si>
  <si>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</si>
  <si>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</si>
  <si>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</si>
  <si>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</si>
  <si>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</si>
  <si>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</si>
  <si>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</si>
  <si>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</si>
  <si>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</si>
  <si>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</si>
  <si>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</si>
  <si>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</si>
  <si>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</si>
  <si>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</si>
  <si>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</si>
  <si>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</si>
  <si>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</si>
  <si>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</si>
  <si>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</si>
  <si>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</si>
  <si>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</si>
  <si>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</si>
  <si>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</si>
  <si>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</si>
  <si>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</si>
  <si>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</si>
  <si>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</si>
  <si>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</si>
  <si>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</si>
  <si>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</si>
  <si>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</si>
  <si>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</si>
  <si>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</si>
  <si>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</si>
  <si>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</si>
  <si>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</si>
  <si>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</si>
  <si>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</si>
  <si>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</si>
  <si>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</si>
  <si>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</si>
  <si>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</si>
  <si>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</si>
  <si>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</si>
  <si>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</si>
  <si>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</si>
  <si>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</si>
  <si>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</si>
  <si>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</si>
  <si>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</si>
  <si>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</si>
  <si>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</si>
  <si>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</si>
  <si>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</si>
  <si>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</si>
  <si>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</si>
  <si>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</si>
  <si>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</si>
  <si>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</si>
  <si>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</si>
  <si>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</si>
  <si>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</si>
  <si>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</si>
  <si>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</si>
  <si>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</si>
  <si>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</si>
  <si>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</si>
  <si>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</si>
  <si>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</si>
  <si>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</si>
  <si>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</si>
  <si>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</si>
  <si>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</si>
  <si>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</si>
  <si>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</si>
  <si>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</si>
  <si>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</si>
  <si>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</si>
  <si>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</si>
  <si>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</si>
  <si>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</si>
  <si>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</si>
  <si>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</si>
  <si>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</si>
  <si>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</si>
  <si>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</si>
  <si>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</si>
  <si>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</si>
  <si>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</si>
  <si>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</si>
  <si>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</si>
  <si>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</si>
  <si>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</si>
  <si>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</si>
  <si>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</si>
  <si>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</si>
  <si>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</si>
  <si>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</si>
  <si>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</si>
  <si>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</si>
  <si>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</si>
  <si>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</si>
  <si>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</si>
  <si>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</si>
  <si>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</si>
  <si>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</si>
  <si>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</si>
  <si>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</si>
  <si>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</si>
  <si>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</si>
  <si>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</si>
  <si>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</si>
  <si>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</si>
  <si>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</si>
  <si>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</si>
  <si>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</si>
  <si>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</si>
  <si>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</si>
  <si>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</si>
  <si>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</si>
  <si>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</si>
  <si>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</si>
  <si>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</si>
  <si>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</si>
  <si>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</si>
  <si>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</si>
  <si>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</si>
  <si>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</si>
  <si>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</si>
  <si>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</si>
  <si>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</si>
  <si>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</si>
  <si>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</si>
  <si>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</si>
  <si>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</si>
  <si>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</si>
  <si>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</si>
  <si>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</si>
  <si>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</si>
  <si>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</si>
  <si>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</si>
  <si>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</si>
  <si>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</si>
  <si>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</si>
  <si>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</si>
  <si>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</si>
  <si>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</si>
  <si>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</si>
  <si>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</si>
  <si>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</si>
  <si>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</si>
  <si>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</si>
  <si>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</si>
  <si>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</si>
  <si>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</si>
  <si>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</si>
  <si>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</si>
  <si>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</si>
  <si>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</si>
  <si>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</si>
  <si>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</si>
  <si>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</si>
  <si>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</si>
  <si>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</si>
  <si>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</si>
  <si>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</si>
  <si>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</si>
  <si>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</si>
  <si>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</si>
  <si>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</si>
  <si>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</si>
  <si>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</si>
  <si>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</si>
  <si>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</si>
  <si>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</si>
  <si>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</si>
  <si>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</si>
  <si>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</si>
  <si>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</si>
  <si>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</si>
  <si>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</si>
  <si>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</si>
  <si>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</si>
  <si>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</si>
  <si>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</si>
  <si>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</si>
  <si>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</si>
  <si>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</si>
  <si>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</si>
  <si>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</si>
  <si>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</si>
  <si>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</si>
  <si>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</si>
  <si>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</si>
  <si>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</si>
  <si>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</si>
  <si>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</si>
  <si>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</si>
  <si>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</si>
  <si>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</si>
  <si>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</si>
  <si>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</si>
  <si>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</si>
  <si>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</si>
  <si>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</si>
  <si>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</si>
  <si>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</si>
  <si>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</si>
  <si>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</si>
  <si>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</si>
  <si>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</si>
  <si>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</si>
  <si>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</si>
  <si>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</si>
  <si>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</si>
  <si>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</si>
  <si>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</si>
  <si>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</si>
  <si>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</si>
  <si>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</si>
  <si>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</si>
  <si>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</si>
  <si>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</si>
  <si>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</si>
  <si>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</si>
  <si>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</si>
  <si>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</si>
  <si>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</si>
  <si>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</si>
  <si>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</si>
  <si>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</si>
  <si>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</si>
  <si>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</si>
  <si>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</si>
  <si>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</si>
  <si>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</si>
  <si>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</si>
  <si>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</si>
  <si>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</si>
  <si>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</si>
  <si>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</si>
  <si>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</si>
  <si>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</si>
  <si>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</si>
  <si>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</si>
  <si>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</si>
  <si>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</si>
  <si>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</si>
  <si>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</si>
  <si>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</si>
  <si>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</si>
  <si>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</si>
  <si>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</si>
  <si>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</si>
  <si>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</si>
  <si>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</si>
  <si>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</si>
  <si>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</si>
  <si>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</si>
  <si>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</si>
  <si>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</si>
  <si>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</si>
  <si>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</si>
  <si>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</si>
  <si>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</si>
  <si>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</si>
  <si>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</si>
  <si>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</si>
  <si>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</si>
  <si>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</si>
  <si>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</si>
  <si>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</si>
  <si>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</si>
  <si>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</si>
  <si>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</si>
  <si>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</si>
  <si>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</si>
  <si>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</si>
  <si>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</si>
  <si>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</si>
  <si>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</si>
  <si>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</si>
  <si>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</si>
  <si>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</si>
  <si>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</si>
  <si>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</si>
  <si>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</si>
  <si>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</si>
  <si>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</si>
  <si>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</si>
  <si>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</si>
  <si>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</si>
  <si>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</si>
  <si>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</si>
  <si>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</si>
  <si>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</si>
  <si>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</si>
  <si>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</si>
  <si>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</si>
  <si>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</si>
  <si>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</si>
  <si>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</si>
  <si>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</si>
  <si>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</si>
  <si>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</si>
  <si>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</si>
  <si>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</si>
  <si>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</si>
  <si>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</si>
  <si>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</si>
  <si>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</si>
  <si>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</si>
  <si>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</si>
  <si>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</si>
  <si>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</si>
  <si>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</si>
  <si>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</si>
  <si>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</si>
  <si>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</si>
  <si>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</si>
  <si>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</si>
  <si>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</si>
  <si>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</si>
  <si>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</si>
  <si>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</si>
  <si>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</si>
  <si>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</si>
  <si>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</si>
  <si>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</si>
  <si>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</si>
  <si>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</si>
  <si>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</si>
  <si>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</si>
  <si>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</si>
  <si>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</si>
  <si>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</si>
  <si>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</si>
  <si>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</si>
  <si>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</si>
  <si>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</si>
  <si>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</si>
  <si>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</si>
  <si>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</si>
  <si>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</si>
  <si>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</si>
  <si>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</si>
  <si>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</si>
  <si>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</si>
  <si>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</si>
  <si>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</si>
  <si>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</si>
  <si>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</si>
  <si>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</si>
  <si>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</si>
  <si>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</si>
  <si>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</si>
  <si>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</si>
  <si>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</si>
  <si>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</si>
  <si>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</si>
  <si>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</si>
  <si>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</si>
  <si>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</si>
  <si>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</si>
  <si>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</si>
  <si>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</si>
  <si>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</si>
  <si>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</si>
  <si>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</si>
  <si>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</si>
  <si>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</si>
  <si>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</si>
  <si>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</si>
  <si>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</si>
  <si>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</si>
  <si>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</si>
  <si>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</si>
  <si>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</si>
  <si>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</si>
  <si>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</si>
  <si>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</si>
  <si>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</si>
  <si>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</si>
  <si>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</si>
  <si>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</si>
  <si>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</si>
  <si>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</si>
  <si>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</si>
  <si>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</si>
  <si>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</si>
  <si>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</si>
  <si>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</si>
  <si>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</si>
  <si>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</si>
  <si>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</si>
  <si>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</si>
  <si>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</si>
  <si>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</si>
  <si>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</si>
  <si>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</si>
  <si>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</si>
  <si>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</si>
  <si>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</si>
  <si>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</si>
  <si>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</si>
  <si>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</si>
  <si>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</si>
  <si>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</si>
  <si>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</si>
  <si>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</si>
  <si>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</si>
  <si>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</si>
  <si>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</si>
  <si>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</si>
  <si>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</si>
  <si>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</si>
  <si>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</si>
  <si>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</si>
  <si>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</si>
  <si>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</si>
  <si>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</si>
  <si>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</si>
  <si>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</si>
  <si>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</si>
  <si>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</si>
  <si>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</si>
  <si>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</si>
  <si>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Total Revenue</t>
  </si>
  <si>
    <t xml:space="preserve"> </t>
  </si>
  <si>
    <t>Row Labels</t>
  </si>
  <si>
    <t xml:space="preserve">Total Order </t>
  </si>
  <si>
    <t>PivotTable Build Guide</t>
  </si>
  <si>
    <t>Dashboard Element</t>
  </si>
  <si>
    <t>Total Orders</t>
  </si>
  <si>
    <t>Total Quantity Sold</t>
  </si>
  <si>
    <t>Average Order Value</t>
  </si>
  <si>
    <t>Revenue by Month</t>
  </si>
  <si>
    <t>Revenue by Region</t>
  </si>
  <si>
    <t>Revenue by Product Category</t>
  </si>
  <si>
    <t>Revenue by Sales Channel</t>
  </si>
  <si>
    <t>Top 5 Products by Revenue</t>
  </si>
  <si>
    <t>Total Quantity</t>
  </si>
  <si>
    <t>Average of Revenue</t>
  </si>
  <si>
    <t>Jan</t>
  </si>
  <si>
    <t>Feb</t>
  </si>
  <si>
    <t>Mar</t>
  </si>
  <si>
    <t>Apr</t>
  </si>
  <si>
    <t>May</t>
  </si>
  <si>
    <t>Jun</t>
  </si>
  <si>
    <t>Jul</t>
  </si>
  <si>
    <t>Aug</t>
  </si>
  <si>
    <t>Sep</t>
  </si>
  <si>
    <t>Oct</t>
  </si>
  <si>
    <t>Nov</t>
  </si>
  <si>
    <t>Dec</t>
  </si>
  <si>
    <t>Date updated throught:</t>
  </si>
  <si>
    <t xml:space="preserve">    Sales Dashboard</t>
  </si>
  <si>
    <t>Why It Matters</t>
  </si>
  <si>
    <t>Analysis Source</t>
  </si>
  <si>
    <t>Identifies strong and weak sales periods.</t>
  </si>
  <si>
    <t>Identifies the strongest sales market.</t>
  </si>
  <si>
    <t>Identifies the main revenue-driving category.</t>
  </si>
  <si>
    <t>Shows which channel performs best.</t>
  </si>
  <si>
    <t>Identifies the products driving sales.</t>
  </si>
  <si>
    <t>Helps compare customer value.</t>
  </si>
  <si>
    <t>Helps evaluate salesperson performance.</t>
  </si>
  <si>
    <t>Helps evaluate the relationship between discounting and sales.</t>
  </si>
  <si>
    <t>Shows whether revenue depends heavily on a few products.</t>
  </si>
  <si>
    <t>Converts analysis into business actions.</t>
  </si>
  <si>
    <t xml:space="preserve">🎯 Business Questions </t>
  </si>
  <si>
    <t>Sales Performance &amp; Revenue Optimization Analysis</t>
  </si>
  <si>
    <t>Measure</t>
  </si>
  <si>
    <t>Mean</t>
  </si>
  <si>
    <t>Median</t>
  </si>
  <si>
    <t>Minimum</t>
  </si>
  <si>
    <t>Maximum</t>
  </si>
  <si>
    <t>Standard Deviation</t>
  </si>
  <si>
    <t>Q1</t>
  </si>
  <si>
    <t>Q3</t>
  </si>
  <si>
    <t>IQR</t>
  </si>
  <si>
    <t>Average Revenue per Order</t>
  </si>
  <si>
    <t>Quantity vs Revenue</t>
  </si>
  <si>
    <t>Unit Price vs Revenue</t>
  </si>
  <si>
    <t>Discount vs Revenue</t>
  </si>
  <si>
    <t>Relationship</t>
  </si>
  <si>
    <t>Result</t>
  </si>
  <si>
    <t>Interpretation</t>
  </si>
  <si>
    <t>Very weak / almost no linear relationship</t>
  </si>
  <si>
    <t>Strong positive relationship</t>
  </si>
  <si>
    <t>Outlier orders as a share of total orders</t>
  </si>
  <si>
    <t>Share of All Orders</t>
  </si>
  <si>
    <t>Orders with revenue above the upper fence</t>
  </si>
  <si>
    <t>Orders Above Fence</t>
  </si>
  <si>
    <t>Q3 + 1.5 × IQR. The lower fence is below zero, so only high outliers exist.</t>
  </si>
  <si>
    <t>Upper Outlier Fence</t>
  </si>
  <si>
    <t>Revenue Outlier Count</t>
  </si>
  <si>
    <t>No.</t>
  </si>
  <si>
    <t>Answer / Insight</t>
  </si>
  <si>
    <t>November generated the highest monthly revenue at about $274.37K.</t>
  </si>
  <si>
    <t>Supporting_pivots</t>
  </si>
  <si>
    <t>North generated the highest regional revenue at about $561.75K.</t>
  </si>
  <si>
    <t>Computers is the highest-revenue category at about $1.35M.</t>
  </si>
  <si>
    <t>Online is the highest-revenue channel at about $791.54K.</t>
  </si>
  <si>
    <t>Top products are Gaming Laptop, Laptop Air 13, Laptop Pro 14, All-in-One PC, and Ultrawide Monitor.</t>
  </si>
  <si>
    <t>Yes. Returning customers average about $1,284 per order versus about $1,116 for new customers.</t>
  </si>
  <si>
    <t>Statistical_Analysis / SQL file (Q#)</t>
  </si>
  <si>
    <t>Mei Tan leads at about $224.07K (9.14% of total revenue), followed by Hafiz Rahman ($203.96K) and Amir Hassan ($194.69K).</t>
  </si>
  <si>
    <t>SQL file (Q#)</t>
  </si>
  <si>
    <t>Discount and revenue show an almost zero linear correlation (about -0.0235), so no meaningful linear relationship is evident. This does not prove that discounting has no effect.</t>
  </si>
  <si>
    <t>The top 5 products contribute about 57.7% of total revenue; Computers alone contribute about 54.9%.</t>
  </si>
  <si>
    <t>Supporting_pivots / SQL file (Q#)</t>
  </si>
  <si>
    <t>Focus on strong product/category performers, monitor revenue concentration, investigate high-value orders, compare customer value, and review discount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</si>
</sst>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gt;=1000000]\ \$\ #,##0.00,,&quot;M&quot;;[&gt;=1000]\ \$\ #.00,&quot;K&quot;;\ \$\ ###.00"/>
    <numFmt numFmtId="165" formatCode="0.0000"/>
    <numFmt numFmtId="166" formatCode="0.000"/>
  </numFmts>
  <fonts count="21">
    <font>
      <sz val="11"/>
      <color theme="1"/>
      <name val="Segoe UI"/>
      <family val="2"/>
      <scheme val="minor"/>
    </font>
    <font>
      <sz val="11"/>
      <color theme="1"/>
      <name val="Segoe UI"/>
      <family val="2"/>
      <scheme val="minor"/>
    </font>
    <font>
      <sz val="11"/>
      <name val="Carlito"/>
    </font>
    <font>
      <u/>
      <sz val="11"/>
      <color theme="10"/>
      <name val="Carlito"/>
    </font>
    <font>
      <sz val="11"/>
      <color rgb="FFFF0000"/>
      <name val="Segoe UI"/>
      <family val="2"/>
      <scheme val="minor"/>
    </font>
    <font>
      <b/>
      <u/>
      <sz val="16"/>
      <color theme="0"/>
      <name val="Segoe UI"/>
      <family val="2"/>
      <scheme val="minor"/>
    </font>
    <font>
      <b/>
      <sz val="14"/>
      <name val="Segoe UI"/>
      <family val="2"/>
      <scheme val="minor"/>
    </font>
    <font>
      <sz val="14"/>
      <color theme="1"/>
      <name val="Segoe UI"/>
      <family val="2"/>
      <scheme val="minor"/>
    </font>
    <font>
      <sz val="11"/>
      <color theme="0"/>
      <name val="Segoe UI"/>
      <family val="2"/>
      <scheme val="minor"/>
    </font>
    <font>
      <b/>
      <sz val="36"/>
      <color theme="0"/>
      <name val="Segoe UI"/>
      <family val="2"/>
      <scheme val="minor"/>
    </font>
    <font>
      <b/>
      <sz val="16"/>
      <color theme="0"/>
      <name val="Segoe UI"/>
      <family val="2"/>
      <scheme val="minor"/>
    </font>
    <font>
      <sz val="12"/>
      <color theme="1"/>
      <name val="Segoe UI"/>
      <family val="2"/>
      <scheme val="minor"/>
    </font>
    <font>
      <b/>
      <sz val="16"/>
      <color theme="1"/>
      <name val="Segoe UI"/>
      <family val="2"/>
      <scheme val="minor"/>
    </font>
    <font>
      <b/>
      <sz val="12"/>
      <color theme="1"/>
      <name val="Segoe UI"/>
      <family val="2"/>
      <scheme val="minor"/>
    </font>
    <font>
      <b/>
      <sz val="14"/>
      <color theme="1"/>
      <name val="Segoe UI"/>
      <family val="2"/>
      <scheme val="minor"/>
    </font>
    <font>
      <sz val="10"/>
      <color theme="1"/>
      <name val="Arial Unicode MS"/>
    </font>
    <font>
      <b/>
      <sz val="20"/>
      <color theme="0"/>
      <name val="Segoe UI"/>
      <family val="2"/>
      <scheme val="minor"/>
    </font>
    <font>
      <sz val="16"/>
      <color theme="1"/>
      <name val="Segoe UI"/>
      <family val="2"/>
      <scheme val="minor"/>
    </font>
    <font>
      <b/>
      <sz val="12"/>
      <color theme="0"/>
      <name val="Segoe UI"/>
      <family val="2"/>
      <scheme val="minor"/>
    </font>
    <font>
      <b/>
      <sz val="20"/>
      <color theme="2"/>
      <name val="Segoe UI"/>
      <family val="2"/>
      <scheme val="minor"/>
    </font>
    <font>
      <sz val="11"/>
      <color theme="2"/>
      <name val="Segoe U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theme="7" tint="-0.749992370372631"/>
        <bgColor indexed="64"/>
      </patternFill>
    </fill>
    <fill>
      <patternFill patternType="solid">
        <fgColor theme="3" tint="-0.499984740745262"/>
        <bgColor indexed="64"/>
      </patternFill>
    </fill>
  </fills>
  <borders count="4">
    <border>
      <left/>
      <right/>
      <top/>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43" fontId="1" fillId="0" borderId="0" applyFont="0" applyFill="0" applyBorder="0" applyAlignment="0" applyProtection="0"/>
  </cellStyleXfs>
  <cellXfs count="44">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5" fillId="4" borderId="0" xfId="0" applyFont="1" applyFill="1"/>
    <xf numFmtId="0" fontId="6" fillId="2" borderId="1" xfId="0" applyFont="1" applyFill="1" applyBorder="1" applyAlignment="1">
      <alignment horizontal="center" vertical="center"/>
    </xf>
    <xf numFmtId="0" fontId="7" fillId="3" borderId="1" xfId="0" applyFont="1" applyFill="1" applyBorder="1" applyAlignment="1">
      <alignment vertical="center"/>
    </xf>
    <xf numFmtId="0" fontId="4" fillId="5" borderId="0" xfId="0" applyFont="1" applyFill="1"/>
    <xf numFmtId="0" fontId="0" fillId="5" borderId="0" xfId="0" applyFill="1"/>
    <xf numFmtId="0" fontId="8" fillId="5" borderId="0" xfId="0" applyFont="1" applyFill="1"/>
    <xf numFmtId="14" fontId="8" fillId="5" borderId="0" xfId="0" applyNumberFormat="1" applyFont="1" applyFill="1"/>
    <xf numFmtId="0" fontId="8" fillId="3" borderId="0" xfId="0" applyFont="1" applyFill="1"/>
    <xf numFmtId="0" fontId="0" fillId="3" borderId="0" xfId="0" applyFill="1"/>
    <xf numFmtId="0" fontId="13" fillId="0" borderId="2" xfId="0" applyFont="1" applyBorder="1" applyAlignment="1">
      <alignment horizontal="center" vertical="center" wrapText="1"/>
    </xf>
    <xf numFmtId="0" fontId="11" fillId="0" borderId="2" xfId="0" applyFont="1" applyBorder="1" applyAlignment="1">
      <alignment horizontal="left" vertical="top"/>
    </xf>
    <xf numFmtId="0" fontId="11" fillId="0" borderId="2" xfId="0" applyFont="1" applyBorder="1"/>
    <xf numFmtId="0" fontId="11" fillId="0" borderId="2" xfId="0" applyFont="1" applyBorder="1" applyAlignment="1">
      <alignment vertical="center" wrapText="1"/>
    </xf>
    <xf numFmtId="0" fontId="14" fillId="0" borderId="2" xfId="0" applyFont="1" applyBorder="1" applyAlignment="1">
      <alignment horizontal="center" vertical="center" wrapText="1"/>
    </xf>
    <xf numFmtId="4" fontId="11" fillId="0" borderId="2" xfId="0" applyNumberFormat="1" applyFont="1" applyBorder="1" applyAlignment="1">
      <alignment horizontal="center" vertical="center" wrapText="1"/>
    </xf>
    <xf numFmtId="2" fontId="11" fillId="0" borderId="2" xfId="0" applyNumberFormat="1" applyFont="1" applyBorder="1" applyAlignment="1">
      <alignment horizontal="center" vertical="center" wrapText="1"/>
    </xf>
    <xf numFmtId="10" fontId="11" fillId="0" borderId="2" xfId="0" applyNumberFormat="1" applyFont="1" applyBorder="1" applyAlignment="1">
      <alignment horizontal="center" vertical="center" wrapText="1"/>
    </xf>
    <xf numFmtId="3" fontId="11"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5" fontId="11" fillId="0" borderId="2" xfId="0" applyNumberFormat="1" applyFont="1" applyBorder="1" applyAlignment="1">
      <alignment horizontal="center" vertical="center"/>
    </xf>
    <xf numFmtId="166" fontId="11" fillId="0" borderId="2" xfId="0" applyNumberFormat="1" applyFont="1" applyBorder="1" applyAlignment="1">
      <alignment horizontal="center" vertical="center"/>
    </xf>
    <xf numFmtId="43" fontId="11" fillId="0" borderId="2" xfId="4" applyFont="1" applyBorder="1" applyAlignment="1">
      <alignment horizontal="center" vertical="center"/>
    </xf>
    <xf numFmtId="0" fontId="11" fillId="0" borderId="2" xfId="0" applyFont="1" applyBorder="1" applyAlignment="1">
      <alignment horizontal="center" vertical="center"/>
    </xf>
    <xf numFmtId="43" fontId="11" fillId="0" borderId="2" xfId="0" applyNumberFormat="1" applyFont="1" applyBorder="1" applyAlignment="1">
      <alignment horizontal="center" vertical="center"/>
    </xf>
    <xf numFmtId="0" fontId="15" fillId="0" borderId="0" xfId="0" applyFont="1" applyAlignment="1">
      <alignment horizontal="center" vertical="center"/>
    </xf>
    <xf numFmtId="0" fontId="16" fillId="6"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18" fillId="6"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10" fillId="4" borderId="2" xfId="0" applyFont="1" applyFill="1" applyBorder="1" applyAlignment="1">
      <alignment horizontal="center" vertical="center"/>
    </xf>
    <xf numFmtId="0" fontId="12" fillId="4" borderId="2" xfId="0" applyFont="1" applyFill="1" applyBorder="1" applyAlignment="1">
      <alignment horizontal="center" vertical="center"/>
    </xf>
    <xf numFmtId="0" fontId="9" fillId="5" borderId="0" xfId="0" applyFont="1" applyFill="1" applyAlignment="1">
      <alignment horizontal="center"/>
    </xf>
    <xf numFmtId="0" fontId="4" fillId="5" borderId="0" xfId="0" applyFont="1" applyFill="1" applyAlignment="1">
      <alignment horizontal="center"/>
    </xf>
    <xf numFmtId="0" fontId="19" fillId="7" borderId="0" xfId="0" applyFont="1" applyFill="1" applyAlignment="1">
      <alignment horizontal="center" vertical="center"/>
    </xf>
    <xf numFmtId="0" fontId="20" fillId="7" borderId="0" xfId="0" applyFont="1" applyFill="1" applyAlignment="1">
      <alignment horizontal="center" vertical="center"/>
    </xf>
    <xf numFmtId="0" fontId="20" fillId="7" borderId="3" xfId="0" applyFont="1" applyFill="1" applyBorder="1" applyAlignment="1">
      <alignment horizontal="center" vertical="center"/>
    </xf>
    <xf numFmtId="0" fontId="0" fillId="0" borderId="0" xfId="0" applyNumberFormat="1"/>
  </cellXfs>
  <cellStyles count="5">
    <cellStyle name="Comma" xfId="4" builtinId="3"/>
    <cellStyle name="Hyperlink 2" xfId="3" xr:uid="{C2F072EC-1101-470F-A900-443734426AAA}"/>
    <cellStyle name="Normal" xfId="0" builtinId="0"/>
    <cellStyle name="Normal 2" xfId="2" xr:uid="{C19670B5-4B4D-47E2-8561-30E10DF8D3E1}"/>
    <cellStyle name="Percent" xfId="1" builtinId="5"/>
  </cellStyles>
  <dxfs count="5">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0" formatCode="General"/>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 - Copy.xlsx]Supporting_pivots!PT5_Revenue_Month</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Supporting_pivots!$D$9</c:f>
              <c:strCache>
                <c:ptCount val="1"/>
                <c:pt idx="0">
                  <c:v>Total</c:v>
                </c:pt>
              </c:strCache>
            </c:strRef>
          </c:tx>
          <c:spPr>
            <a:ln w="28575" cap="rnd">
              <a:solidFill>
                <a:schemeClr val="accent1"/>
              </a:solidFill>
              <a:round/>
            </a:ln>
            <a:effectLst/>
          </c:spPr>
          <c:marker>
            <c:symbol val="none"/>
          </c:marker>
          <c:dLbls>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Supporting_pivots!$C$10:$C$21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Supporting_pivots!$D$10:$D$21</c:f>
              <c:numCache>
                <c:formatCode>[&gt;=1000000]\ \$\ #,##0.00,,"M";[&gt;=1000]\ \$\ #.00,"K";\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D582-4E81-94AC-77420FC4A940}"/>
            </c:ext>
          </c:extLst>
        </c:ser>
        <c:dLbls>
          <c:dLblPos val="t"/>
          <c:showLegendKey val="0"/>
          <c:showVal val="1"/>
          <c:showCatName val="0"/>
          <c:showSerName val="0"/>
          <c:showPercent val="0"/>
          <c:showBubbleSize val="0"/>
        </c:dLbls>
        <c:smooth val="0"/>
        <c:axId val="1307802208"/>
        <c:axId val="1024630992"/>
      </c:lineChart>
      <c:catAx>
        <c:axId val="130780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30992"/>
        <c:crosses val="autoZero"/>
        <c:auto val="1"/>
        <c:lblAlgn val="ctr"/>
        <c:lblOffset val="100"/>
        <c:noMultiLvlLbl val="0"/>
      </c:catAx>
      <c:valAx>
        <c:axId val="1024630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 - Copy.xlsx]Supporting_pivots!PT6_Revenue_Region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a:t>
            </a:r>
            <a:r>
              <a:rPr lang="en-IN" b="1" baseline="0">
                <a:solidFill>
                  <a:schemeClr val="accent1">
                    <a:lumMod val="75000"/>
                  </a:schemeClr>
                </a:solidFill>
              </a:rPr>
              <a:t> by Region</a:t>
            </a:r>
            <a:endParaRPr lang="en-IN"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Supporting_pivots!$G$9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Supporting_pivots!$F$10:$F$14</c:f>
              <c:strCache>
                <c:ptCount val="5"/>
                <c:pt idx="0">
                  <c:v>Central</c:v>
                </c:pt>
                <c:pt idx="1">
                  <c:v>East</c:v>
                </c:pt>
                <c:pt idx="2">
                  <c:v>North</c:v>
                </c:pt>
                <c:pt idx="3">
                  <c:v>South</c:v>
                </c:pt>
                <c:pt idx="4">
                  <c:v>West</c:v>
                </c:pt>
              </c:strCache>
            </c:strRef>
          </c:cat>
          <c:val>
            <c:numRef>
              <c:f>Supporting_pivots!$G$10:$G$14</c:f>
              <c:numCache>
                <c:formatCode>[&gt;=1000000]\ \$\ #,##0.00,,"M";[&gt;=1000]\ \$\ #.00,"K";\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746A-4F18-BF49-7CD7EEB0AB3E}"/>
            </c:ext>
          </c:extLst>
        </c:ser>
        <c:dLbls>
          <c:dLblPos val="outEnd"/>
          <c:showLegendKey val="0"/>
          <c:showVal val="1"/>
          <c:showCatName val="0"/>
          <c:showSerName val="0"/>
          <c:showPercent val="0"/>
          <c:showBubbleSize val="0"/>
        </c:dLbls>
        <c:gapWidth val="219"/>
        <c:overlap val="-27"/>
        <c:axId val="1720650304"/>
        <c:axId val="1719809104"/>
      </c:barChart>
      <c:catAx>
        <c:axId val="172065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09104"/>
        <c:crosses val="autoZero"/>
        <c:auto val="1"/>
        <c:lblAlgn val="ctr"/>
        <c:lblOffset val="100"/>
        <c:noMultiLvlLbl val="0"/>
      </c:catAx>
      <c:valAx>
        <c:axId val="171980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 - Copy.xlsx]Supporting_pivots!PT7_Revenue_Product_Category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Supporting_pivots!$J$9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Supporting_pivots!$I$10:$I$15</c:f>
              <c:strCache>
                <c:ptCount val="6"/>
                <c:pt idx="0">
                  <c:v>Computers</c:v>
                </c:pt>
                <c:pt idx="1">
                  <c:v>Monitors</c:v>
                </c:pt>
                <c:pt idx="2">
                  <c:v>Networking</c:v>
                </c:pt>
                <c:pt idx="3">
                  <c:v>Storage</c:v>
                </c:pt>
                <c:pt idx="4">
                  <c:v>Accessories</c:v>
                </c:pt>
                <c:pt idx="5">
                  <c:v>Office Supplies</c:v>
                </c:pt>
              </c:strCache>
            </c:strRef>
          </c:cat>
          <c:val>
            <c:numRef>
              <c:f>Supporting_pivots!$J$10:$J$15</c:f>
              <c:numCache>
                <c:formatCode>[&gt;=1000000]\ \$\ #,##0.00,,"M";[&gt;=1000]\ \$\ #.00,"K";\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BBA9-4FA9-9708-888838F91384}"/>
            </c:ext>
          </c:extLst>
        </c:ser>
        <c:dLbls>
          <c:showLegendKey val="0"/>
          <c:showVal val="0"/>
          <c:showCatName val="0"/>
          <c:showSerName val="0"/>
          <c:showPercent val="0"/>
          <c:showBubbleSize val="0"/>
        </c:dLbls>
        <c:gapWidth val="219"/>
        <c:overlap val="-27"/>
        <c:axId val="1599880464"/>
        <c:axId val="1719859024"/>
      </c:barChart>
      <c:catAx>
        <c:axId val="159988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59024"/>
        <c:crosses val="autoZero"/>
        <c:auto val="1"/>
        <c:lblAlgn val="ctr"/>
        <c:lblOffset val="100"/>
        <c:noMultiLvlLbl val="0"/>
      </c:catAx>
      <c:valAx>
        <c:axId val="1719859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88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 - Copy.xlsx]Supporting_pivots!PT9_Revenue_Top_Products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Supporting_pivots!$P$9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Supporting_pivots!$O$10:$O$14</c:f>
              <c:strCache>
                <c:ptCount val="5"/>
                <c:pt idx="0">
                  <c:v>Gaming Laptop</c:v>
                </c:pt>
                <c:pt idx="1">
                  <c:v>Laptop Air 13</c:v>
                </c:pt>
                <c:pt idx="2">
                  <c:v>Laptop Pro 14</c:v>
                </c:pt>
                <c:pt idx="3">
                  <c:v>All-in-One PC</c:v>
                </c:pt>
                <c:pt idx="4">
                  <c:v>Ultrawide Monitor</c:v>
                </c:pt>
              </c:strCache>
            </c:strRef>
          </c:cat>
          <c:val>
            <c:numRef>
              <c:f>Supporting_pivots!$P$10:$P$14</c:f>
              <c:numCache>
                <c:formatCode>[&gt;=1000000]\ \$\ #,##0.00,,"M";[&gt;=1000]\ \$\ #.00,"K";\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52BA-4190-B6FE-325AAFCEEE39}"/>
            </c:ext>
          </c:extLst>
        </c:ser>
        <c:dLbls>
          <c:dLblPos val="outEnd"/>
          <c:showLegendKey val="0"/>
          <c:showVal val="1"/>
          <c:showCatName val="0"/>
          <c:showSerName val="0"/>
          <c:showPercent val="0"/>
          <c:showBubbleSize val="0"/>
        </c:dLbls>
        <c:gapWidth val="182"/>
        <c:axId val="1720643344"/>
        <c:axId val="1719824944"/>
      </c:barChart>
      <c:catAx>
        <c:axId val="17206433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19824944"/>
        <c:crosses val="autoZero"/>
        <c:auto val="1"/>
        <c:lblAlgn val="ctr"/>
        <c:lblOffset val="100"/>
        <c:noMultiLvlLbl val="0"/>
      </c:catAx>
      <c:valAx>
        <c:axId val="1719824944"/>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0.46426134744278302"/>
              <c:y val="0.90149480937792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00,,&quot;M&quot;;[&gt;=1000]\ \$\ #.00,&quot;K&quot;;\ \$\ ###.00" sourceLinked="1"/>
        <c:majorTickMark val="none"/>
        <c:minorTickMark val="none"/>
        <c:tickLblPos val="nextTo"/>
        <c:crossAx val="172064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Performance_ clean - Copy.xlsx]Supporting_pivots!PT8_Revenue_Sales_Channel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Supporting_pivots!$M$9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0-4942-B788-A4B852AB7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0-4942-B788-A4B852AB7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10-4942-B788-A4B852AB70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10-4942-B788-A4B852AB70B6}"/>
              </c:ext>
            </c:extLst>
          </c:dPt>
          <c:dLbls>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Supporting_pivots!$L$10:$L$13</c:f>
              <c:strCache>
                <c:ptCount val="4"/>
                <c:pt idx="0">
                  <c:v>Corporate Sales</c:v>
                </c:pt>
                <c:pt idx="1">
                  <c:v>Marketplace</c:v>
                </c:pt>
                <c:pt idx="2">
                  <c:v>Online</c:v>
                </c:pt>
                <c:pt idx="3">
                  <c:v>Retail Store</c:v>
                </c:pt>
              </c:strCache>
            </c:strRef>
          </c:cat>
          <c:val>
            <c:numRef>
              <c:f>Supporting_pivots!$M$10:$M$13</c:f>
              <c:numCache>
                <c:formatCode>[&gt;=1000000]\ \$\ #,##0.00,,"M";[&gt;=1000]\ \$\ #.00,"K";\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1B10-4942-B788-A4B852AB70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50031783868394"/>
          <c:y val="0.28850039641306585"/>
          <c:w val="0.16408589040609389"/>
          <c:h val="0.3923833458183311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3908</xdr:colOff>
      <xdr:row>26</xdr:row>
      <xdr:rowOff>100755</xdr:rowOff>
    </xdr:from>
    <xdr:to>
      <xdr:col>3</xdr:col>
      <xdr:colOff>381385</xdr:colOff>
      <xdr:row>37</xdr:row>
      <xdr:rowOff>51552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4109C76-05FD-41BF-B5B4-0B5622308E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8" y="5723079"/>
              <a:ext cx="2385450" cy="2329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16</xdr:row>
      <xdr:rowOff>69571</xdr:rowOff>
    </xdr:from>
    <xdr:to>
      <xdr:col>3</xdr:col>
      <xdr:colOff>381385</xdr:colOff>
      <xdr:row>24</xdr:row>
      <xdr:rowOff>193495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28302B7D-120E-4657-A7B5-E771050598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908" y="3529463"/>
              <a:ext cx="2385450" cy="1853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38</xdr:row>
      <xdr:rowOff>175055</xdr:rowOff>
    </xdr:from>
    <xdr:to>
      <xdr:col>3</xdr:col>
      <xdr:colOff>381385</xdr:colOff>
      <xdr:row>44</xdr:row>
      <xdr:rowOff>51487</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88920A36-0C8D-48BE-B945-C0E8F31D0C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908" y="8392298"/>
              <a:ext cx="2385450" cy="1173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xdr:row>
      <xdr:rowOff>8341</xdr:rowOff>
    </xdr:from>
    <xdr:to>
      <xdr:col>3</xdr:col>
      <xdr:colOff>381385</xdr:colOff>
      <xdr:row>14</xdr:row>
      <xdr:rowOff>162312</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502D984-AA4B-4412-99C5-009574660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908" y="657071"/>
              <a:ext cx="2385450" cy="253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545757</xdr:colOff>
      <xdr:row>10</xdr:row>
      <xdr:rowOff>20595</xdr:rowOff>
    </xdr:from>
    <xdr:to>
      <xdr:col>16</xdr:col>
      <xdr:colOff>124541</xdr:colOff>
      <xdr:row>26</xdr:row>
      <xdr:rowOff>82379</xdr:rowOff>
    </xdr:to>
    <xdr:graphicFrame macro="">
      <xdr:nvGraphicFramePr>
        <xdr:cNvPr id="10" name="C1_Revenue_Month">
          <a:extLst>
            <a:ext uri="{FF2B5EF4-FFF2-40B4-BE49-F238E27FC236}">
              <a16:creationId xmlns:a16="http://schemas.microsoft.com/office/drawing/2014/main" id="{3DB32967-32A1-4B33-8679-FA8392C2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370703</xdr:colOff>
      <xdr:row>10</xdr:row>
      <xdr:rowOff>30892</xdr:rowOff>
    </xdr:from>
    <xdr:to>
      <xdr:col>28</xdr:col>
      <xdr:colOff>660001</xdr:colOff>
      <xdr:row>26</xdr:row>
      <xdr:rowOff>51487</xdr:rowOff>
    </xdr:to>
    <xdr:graphicFrame macro="">
      <xdr:nvGraphicFramePr>
        <xdr:cNvPr id="11" name="C2_Revenue_Region">
          <a:extLst>
            <a:ext uri="{FF2B5EF4-FFF2-40B4-BE49-F238E27FC236}">
              <a16:creationId xmlns:a16="http://schemas.microsoft.com/office/drawing/2014/main" id="{210A438B-C1FA-4461-A053-04D32885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248588</xdr:colOff>
      <xdr:row>27</xdr:row>
      <xdr:rowOff>30891</xdr:rowOff>
    </xdr:from>
    <xdr:to>
      <xdr:col>20</xdr:col>
      <xdr:colOff>617994</xdr:colOff>
      <xdr:row>44</xdr:row>
      <xdr:rowOff>51487</xdr:rowOff>
    </xdr:to>
    <xdr:graphicFrame macro="">
      <xdr:nvGraphicFramePr>
        <xdr:cNvPr id="12" name="C3_Revenue_Product_Category">
          <a:extLst>
            <a:ext uri="{FF2B5EF4-FFF2-40B4-BE49-F238E27FC236}">
              <a16:creationId xmlns:a16="http://schemas.microsoft.com/office/drawing/2014/main" id="{AA43AAA8-B959-4417-8E22-221BC4C95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32230</xdr:colOff>
      <xdr:row>27</xdr:row>
      <xdr:rowOff>20595</xdr:rowOff>
    </xdr:from>
    <xdr:to>
      <xdr:col>28</xdr:col>
      <xdr:colOff>596633</xdr:colOff>
      <xdr:row>44</xdr:row>
      <xdr:rowOff>51488</xdr:rowOff>
    </xdr:to>
    <xdr:graphicFrame macro="">
      <xdr:nvGraphicFramePr>
        <xdr:cNvPr id="13" name="C5_Revenue_Products_top5">
          <a:extLst>
            <a:ext uri="{FF2B5EF4-FFF2-40B4-BE49-F238E27FC236}">
              <a16:creationId xmlns:a16="http://schemas.microsoft.com/office/drawing/2014/main" id="{37C79D46-11F3-4C38-83F7-604EAC13F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464946</xdr:colOff>
      <xdr:row>27</xdr:row>
      <xdr:rowOff>30891</xdr:rowOff>
    </xdr:from>
    <xdr:to>
      <xdr:col>12</xdr:col>
      <xdr:colOff>165027</xdr:colOff>
      <xdr:row>44</xdr:row>
      <xdr:rowOff>51487</xdr:rowOff>
    </xdr:to>
    <xdr:graphicFrame macro="">
      <xdr:nvGraphicFramePr>
        <xdr:cNvPr id="14" name="C4_Revenue by_Sales_Channel">
          <a:extLst>
            <a:ext uri="{FF2B5EF4-FFF2-40B4-BE49-F238E27FC236}">
              <a16:creationId xmlns:a16="http://schemas.microsoft.com/office/drawing/2014/main" id="{900C7EB9-C258-4592-A20D-B96F42B5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463378</xdr:colOff>
      <xdr:row>3</xdr:row>
      <xdr:rowOff>49425</xdr:rowOff>
    </xdr:from>
    <xdr:to>
      <xdr:col>28</xdr:col>
      <xdr:colOff>298621</xdr:colOff>
      <xdr:row>9</xdr:row>
      <xdr:rowOff>47514</xdr:rowOff>
    </xdr:to>
    <xdr:grpSp>
      <xdr:nvGrpSpPr>
        <xdr:cNvPr id="19" name="Group 18">
          <a:extLst>
            <a:ext uri="{FF2B5EF4-FFF2-40B4-BE49-F238E27FC236}">
              <a16:creationId xmlns:a16="http://schemas.microsoft.com/office/drawing/2014/main" id="{1F17CC9A-E417-3D80-F199-C4D2670C5EE5}"/>
            </a:ext>
          </a:extLst>
        </xdr:cNvPr>
        <xdr:cNvGrpSpPr/>
      </xdr:nvGrpSpPr>
      <xdr:grpSpPr>
        <a:xfrm>
          <a:off x="2471351" y="698155"/>
          <a:ext cx="16939054" cy="1295548"/>
          <a:chOff x="2533135" y="2191263"/>
          <a:chExt cx="16939054" cy="1295548"/>
        </a:xfrm>
      </xdr:grpSpPr>
      <xdr:sp macro="" textlink="">
        <xdr:nvSpPr>
          <xdr:cNvPr id="24" name="Rectangle: Rounded Corners 23">
            <a:extLst>
              <a:ext uri="{FF2B5EF4-FFF2-40B4-BE49-F238E27FC236}">
                <a16:creationId xmlns:a16="http://schemas.microsoft.com/office/drawing/2014/main" id="{3DEA0ED9-D9E4-191F-D505-2678BF215DA7}"/>
              </a:ext>
            </a:extLst>
          </xdr:cNvPr>
          <xdr:cNvSpPr/>
        </xdr:nvSpPr>
        <xdr:spPr>
          <a:xfrm>
            <a:off x="2533135" y="2244811"/>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3515F7C4-B13D-5479-2D59-176DFCE489C4}"/>
              </a:ext>
            </a:extLst>
          </xdr:cNvPr>
          <xdr:cNvSpPr/>
        </xdr:nvSpPr>
        <xdr:spPr>
          <a:xfrm>
            <a:off x="15011400" y="2191263"/>
            <a:ext cx="4460789"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4" name="Group 63">
            <a:extLst>
              <a:ext uri="{FF2B5EF4-FFF2-40B4-BE49-F238E27FC236}">
                <a16:creationId xmlns:a16="http://schemas.microsoft.com/office/drawing/2014/main" id="{85FCD740-85B7-B0A1-F46C-6913E7201681}"/>
              </a:ext>
            </a:extLst>
          </xdr:cNvPr>
          <xdr:cNvGrpSpPr/>
        </xdr:nvGrpSpPr>
        <xdr:grpSpPr>
          <a:xfrm>
            <a:off x="15285307" y="2296299"/>
            <a:ext cx="3970641" cy="951472"/>
            <a:chOff x="2739081" y="2323071"/>
            <a:chExt cx="3619946" cy="951472"/>
          </a:xfrm>
        </xdr:grpSpPr>
        <xdr:grpSp>
          <xdr:nvGrpSpPr>
            <xdr:cNvPr id="65" name="Group 64">
              <a:extLst>
                <a:ext uri="{FF2B5EF4-FFF2-40B4-BE49-F238E27FC236}">
                  <a16:creationId xmlns:a16="http://schemas.microsoft.com/office/drawing/2014/main" id="{63DF3685-21B2-0637-D71F-CE4AD7361579}"/>
                </a:ext>
              </a:extLst>
            </xdr:cNvPr>
            <xdr:cNvGrpSpPr/>
          </xdr:nvGrpSpPr>
          <xdr:grpSpPr>
            <a:xfrm>
              <a:off x="3573163" y="2323071"/>
              <a:ext cx="2785864" cy="951472"/>
              <a:chOff x="3696731" y="2363055"/>
              <a:chExt cx="2785864" cy="1055647"/>
            </a:xfrm>
          </xdr:grpSpPr>
          <xdr:sp macro="" textlink="Supporting_pivots!$I$5">
            <xdr:nvSpPr>
              <xdr:cNvPr id="67" name="TextBox 66">
                <a:extLst>
                  <a:ext uri="{FF2B5EF4-FFF2-40B4-BE49-F238E27FC236}">
                    <a16:creationId xmlns:a16="http://schemas.microsoft.com/office/drawing/2014/main" id="{C64F78A0-7AAF-B361-E0FF-681096047B77}"/>
                  </a:ext>
                </a:extLst>
              </xdr:cNvPr>
              <xdr:cNvSpPr txBox="1"/>
            </xdr:nvSpPr>
            <xdr:spPr>
              <a:xfrm>
                <a:off x="3995351"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B5BD49-0803-4B61-BEAD-0E75B89BF398}" type="TxLink">
                  <a:rPr lang="en-US" sz="3400" b="1" i="0" u="none" strike="noStrike">
                    <a:solidFill>
                      <a:schemeClr val="accent1"/>
                    </a:solidFill>
                    <a:latin typeface="Segoe UI"/>
                    <a:cs typeface="Segoe UI"/>
                  </a:rPr>
                  <a:pPr algn="ctr"/>
                  <a:t> $ 1.23K</a:t>
                </a:fld>
                <a:endParaRPr lang="en-IN" sz="3400" b="1">
                  <a:solidFill>
                    <a:schemeClr val="accent1"/>
                  </a:solidFill>
                </a:endParaRPr>
              </a:p>
            </xdr:txBody>
          </xdr:sp>
          <xdr:sp macro="" textlink="Supporting_pivots!$C$5">
            <xdr:nvSpPr>
              <xdr:cNvPr id="68" name="TextBox 67">
                <a:extLst>
                  <a:ext uri="{FF2B5EF4-FFF2-40B4-BE49-F238E27FC236}">
                    <a16:creationId xmlns:a16="http://schemas.microsoft.com/office/drawing/2014/main" id="{B24BB2C4-B2FA-F953-A871-D8215ACB9295}"/>
                  </a:ext>
                </a:extLst>
              </xdr:cNvPr>
              <xdr:cNvSpPr txBox="1"/>
            </xdr:nvSpPr>
            <xdr:spPr>
              <a:xfrm>
                <a:off x="3696731" y="2363055"/>
                <a:ext cx="2785864" cy="536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Average</a:t>
                </a:r>
                <a:r>
                  <a:rPr lang="en-IN" sz="2200" b="1" baseline="0">
                    <a:solidFill>
                      <a:schemeClr val="tx1"/>
                    </a:solidFill>
                  </a:rPr>
                  <a:t> Order Value</a:t>
                </a:r>
                <a:endParaRPr lang="en-IN" sz="2200" b="1">
                  <a:solidFill>
                    <a:schemeClr val="tx1"/>
                  </a:solidFill>
                </a:endParaRPr>
              </a:p>
            </xdr:txBody>
          </xdr:sp>
        </xdr:grpSp>
        <xdr:pic>
          <xdr:nvPicPr>
            <xdr:cNvPr id="66" name="Graphic 65" descr="Employee badge with solid fill">
              <a:extLst>
                <a:ext uri="{FF2B5EF4-FFF2-40B4-BE49-F238E27FC236}">
                  <a16:creationId xmlns:a16="http://schemas.microsoft.com/office/drawing/2014/main" id="{9766DAF5-AC64-5EB7-7F11-1A053866107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739081" y="2419863"/>
              <a:ext cx="828000" cy="828000"/>
            </a:xfrm>
            <a:prstGeom prst="rect">
              <a:avLst/>
            </a:prstGeom>
          </xdr:spPr>
        </xdr:pic>
      </xdr:grpSp>
      <xdr:grpSp>
        <xdr:nvGrpSpPr>
          <xdr:cNvPr id="17" name="Group 16">
            <a:extLst>
              <a:ext uri="{FF2B5EF4-FFF2-40B4-BE49-F238E27FC236}">
                <a16:creationId xmlns:a16="http://schemas.microsoft.com/office/drawing/2014/main" id="{9AE600D5-9C93-140B-9C27-D1B941512EE3}"/>
              </a:ext>
            </a:extLst>
          </xdr:cNvPr>
          <xdr:cNvGrpSpPr/>
        </xdr:nvGrpSpPr>
        <xdr:grpSpPr>
          <a:xfrm>
            <a:off x="2739081" y="2218036"/>
            <a:ext cx="7887388" cy="1242000"/>
            <a:chOff x="2759675" y="2218036"/>
            <a:chExt cx="7887388" cy="1242000"/>
          </a:xfrm>
        </xdr:grpSpPr>
        <xdr:grpSp>
          <xdr:nvGrpSpPr>
            <xdr:cNvPr id="34" name="Group 33">
              <a:extLst>
                <a:ext uri="{FF2B5EF4-FFF2-40B4-BE49-F238E27FC236}">
                  <a16:creationId xmlns:a16="http://schemas.microsoft.com/office/drawing/2014/main" id="{A865F278-E0A6-25CD-7287-F06E3D8C677E}"/>
                </a:ext>
              </a:extLst>
            </xdr:cNvPr>
            <xdr:cNvGrpSpPr/>
          </xdr:nvGrpSpPr>
          <xdr:grpSpPr>
            <a:xfrm>
              <a:off x="2759675" y="2419863"/>
              <a:ext cx="3253947" cy="854679"/>
              <a:chOff x="2739081" y="2419863"/>
              <a:chExt cx="3253947" cy="854679"/>
            </a:xfrm>
          </xdr:grpSpPr>
          <xdr:grpSp>
            <xdr:nvGrpSpPr>
              <xdr:cNvPr id="33" name="Group 32">
                <a:extLst>
                  <a:ext uri="{FF2B5EF4-FFF2-40B4-BE49-F238E27FC236}">
                    <a16:creationId xmlns:a16="http://schemas.microsoft.com/office/drawing/2014/main" id="{8C6C9181-040F-F76A-36ED-93525C9E0EB3}"/>
                  </a:ext>
                </a:extLst>
              </xdr:cNvPr>
              <xdr:cNvGrpSpPr/>
            </xdr:nvGrpSpPr>
            <xdr:grpSpPr>
              <a:xfrm>
                <a:off x="3449594" y="2428106"/>
                <a:ext cx="2543434" cy="846436"/>
                <a:chOff x="3573162" y="2479591"/>
                <a:chExt cx="2543434" cy="939111"/>
              </a:xfrm>
            </xdr:grpSpPr>
            <xdr:sp macro="" textlink="Supporting_pivots!$C$5">
              <xdr:nvSpPr>
                <xdr:cNvPr id="28" name="TextBox 27">
                  <a:extLst>
                    <a:ext uri="{FF2B5EF4-FFF2-40B4-BE49-F238E27FC236}">
                      <a16:creationId xmlns:a16="http://schemas.microsoft.com/office/drawing/2014/main" id="{DC6AE8F1-45BA-F8A0-C2BE-0F9EB5ED0C39}"/>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7A86E-951C-42CD-A2B5-904499DE7B87}" type="TxLink">
                    <a:rPr lang="en-US" sz="3400" b="1" i="0" u="none" strike="noStrike">
                      <a:solidFill>
                        <a:schemeClr val="accent1"/>
                      </a:solidFill>
                      <a:latin typeface="Segoe UI"/>
                      <a:cs typeface="Segoe UI"/>
                    </a:rPr>
                    <a:pPr algn="ctr"/>
                    <a:t> $ 2.45M</a:t>
                  </a:fld>
                  <a:endParaRPr lang="en-IN" sz="3400" b="1">
                    <a:solidFill>
                      <a:schemeClr val="accent1"/>
                    </a:solidFill>
                  </a:endParaRPr>
                </a:p>
              </xdr:txBody>
            </xdr:sp>
            <xdr:sp macro="" textlink="Supporting_pivots!$C$5">
              <xdr:nvSpPr>
                <xdr:cNvPr id="29" name="TextBox 28">
                  <a:extLst>
                    <a:ext uri="{FF2B5EF4-FFF2-40B4-BE49-F238E27FC236}">
                      <a16:creationId xmlns:a16="http://schemas.microsoft.com/office/drawing/2014/main" id="{383AF64F-9014-11F2-B971-742336211F6C}"/>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 REVENUE</a:t>
                  </a:r>
                </a:p>
              </xdr:txBody>
            </xdr:sp>
          </xdr:grpSp>
          <xdr:pic>
            <xdr:nvPicPr>
              <xdr:cNvPr id="32" name="Graphic 31" descr="Dollar with solid fill">
                <a:extLst>
                  <a:ext uri="{FF2B5EF4-FFF2-40B4-BE49-F238E27FC236}">
                    <a16:creationId xmlns:a16="http://schemas.microsoft.com/office/drawing/2014/main" id="{E2E319F7-4F36-06DB-D597-B08FAE0F03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39081" y="2419863"/>
                <a:ext cx="828000" cy="828000"/>
              </a:xfrm>
              <a:prstGeom prst="rect">
                <a:avLst/>
              </a:prstGeom>
            </xdr:spPr>
          </xdr:pic>
        </xdr:grpSp>
        <xdr:grpSp>
          <xdr:nvGrpSpPr>
            <xdr:cNvPr id="16" name="Group 15">
              <a:extLst>
                <a:ext uri="{FF2B5EF4-FFF2-40B4-BE49-F238E27FC236}">
                  <a16:creationId xmlns:a16="http://schemas.microsoft.com/office/drawing/2014/main" id="{EC868897-73B3-720F-9234-51B57F2CC7DC}"/>
                </a:ext>
              </a:extLst>
            </xdr:cNvPr>
            <xdr:cNvGrpSpPr/>
          </xdr:nvGrpSpPr>
          <xdr:grpSpPr>
            <a:xfrm>
              <a:off x="6687063" y="2218036"/>
              <a:ext cx="3960000" cy="1242000"/>
              <a:chOff x="6687063" y="2218036"/>
              <a:chExt cx="3960000" cy="1242000"/>
            </a:xfrm>
          </xdr:grpSpPr>
          <xdr:sp macro="" textlink="">
            <xdr:nvSpPr>
              <xdr:cNvPr id="53" name="Rectangle: Rounded Corners 52">
                <a:extLst>
                  <a:ext uri="{FF2B5EF4-FFF2-40B4-BE49-F238E27FC236}">
                    <a16:creationId xmlns:a16="http://schemas.microsoft.com/office/drawing/2014/main" id="{DEBC3558-F2C5-D08E-CE18-D5F9FE523E32}"/>
                  </a:ext>
                </a:extLst>
              </xdr:cNvPr>
              <xdr:cNvSpPr/>
            </xdr:nvSpPr>
            <xdr:spPr>
              <a:xfrm>
                <a:off x="6687063" y="2218036"/>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55" name="Group 54">
                <a:extLst>
                  <a:ext uri="{FF2B5EF4-FFF2-40B4-BE49-F238E27FC236}">
                    <a16:creationId xmlns:a16="http://schemas.microsoft.com/office/drawing/2014/main" id="{7A6B1CB2-2D31-5DFA-F9F8-2E26BF28911D}"/>
                  </a:ext>
                </a:extLst>
              </xdr:cNvPr>
              <xdr:cNvGrpSpPr/>
            </xdr:nvGrpSpPr>
            <xdr:grpSpPr>
              <a:xfrm>
                <a:off x="7782697" y="2426046"/>
                <a:ext cx="2543434" cy="846436"/>
                <a:chOff x="3573162" y="2479591"/>
                <a:chExt cx="2543434" cy="939111"/>
              </a:xfrm>
            </xdr:grpSpPr>
            <xdr:sp macro="" textlink="Supporting_pivots!$E$5">
              <xdr:nvSpPr>
                <xdr:cNvPr id="57" name="TextBox 56">
                  <a:extLst>
                    <a:ext uri="{FF2B5EF4-FFF2-40B4-BE49-F238E27FC236}">
                      <a16:creationId xmlns:a16="http://schemas.microsoft.com/office/drawing/2014/main" id="{64E30D42-685B-E917-4F02-D6863D2F065C}"/>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B3035C-F97A-4894-9BCF-2E16F4683955}" type="TxLink">
                    <a:rPr lang="en-US" sz="3400" b="1" i="0" u="none" strike="noStrike">
                      <a:solidFill>
                        <a:schemeClr val="accent1"/>
                      </a:solidFill>
                      <a:latin typeface="Segoe UI"/>
                      <a:cs typeface="Segoe UI"/>
                    </a:rPr>
                    <a:pPr algn="ctr"/>
                    <a:t>2000</a:t>
                  </a:fld>
                  <a:endParaRPr lang="en-IN" sz="3400" b="1">
                    <a:solidFill>
                      <a:schemeClr val="accent1"/>
                    </a:solidFill>
                  </a:endParaRPr>
                </a:p>
              </xdr:txBody>
            </xdr:sp>
            <xdr:sp macro="" textlink="Supporting_pivots!$C$5">
              <xdr:nvSpPr>
                <xdr:cNvPr id="58" name="TextBox 57">
                  <a:extLst>
                    <a:ext uri="{FF2B5EF4-FFF2-40B4-BE49-F238E27FC236}">
                      <a16:creationId xmlns:a16="http://schemas.microsoft.com/office/drawing/2014/main" id="{C7D5B74E-EA9C-9778-2782-A2C9861042FD}"/>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a:t>
                  </a:r>
                  <a:r>
                    <a:rPr lang="en-IN" sz="2200" b="1" baseline="0">
                      <a:solidFill>
                        <a:schemeClr val="tx1"/>
                      </a:solidFill>
                    </a:rPr>
                    <a:t> Orders</a:t>
                  </a:r>
                  <a:endParaRPr lang="en-IN" sz="2200" b="1">
                    <a:solidFill>
                      <a:schemeClr val="tx1"/>
                    </a:solidFill>
                  </a:endParaRPr>
                </a:p>
              </xdr:txBody>
            </xdr:sp>
          </xdr:grpSp>
          <xdr:pic>
            <xdr:nvPicPr>
              <xdr:cNvPr id="70" name="Graphic 69" descr="Shopping cart with solid fill">
                <a:extLst>
                  <a:ext uri="{FF2B5EF4-FFF2-40B4-BE49-F238E27FC236}">
                    <a16:creationId xmlns:a16="http://schemas.microsoft.com/office/drawing/2014/main" id="{20248B3A-8C9E-1303-CFE1-98FE8FF2C5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53649" y="2419865"/>
                <a:ext cx="828000" cy="828000"/>
              </a:xfrm>
              <a:prstGeom prst="rect">
                <a:avLst/>
              </a:prstGeom>
            </xdr:spPr>
          </xdr:pic>
        </xdr:grpSp>
      </xdr:grpSp>
      <xdr:grpSp>
        <xdr:nvGrpSpPr>
          <xdr:cNvPr id="15" name="Group 14">
            <a:extLst>
              <a:ext uri="{FF2B5EF4-FFF2-40B4-BE49-F238E27FC236}">
                <a16:creationId xmlns:a16="http://schemas.microsoft.com/office/drawing/2014/main" id="{4A353A2D-9242-2D43-E9EB-99E9422AA8EB}"/>
              </a:ext>
            </a:extLst>
          </xdr:cNvPr>
          <xdr:cNvGrpSpPr/>
        </xdr:nvGrpSpPr>
        <xdr:grpSpPr>
          <a:xfrm>
            <a:off x="10808042" y="2220099"/>
            <a:ext cx="3960000" cy="1242000"/>
            <a:chOff x="10849231" y="2199504"/>
            <a:chExt cx="3960000" cy="1242000"/>
          </a:xfrm>
        </xdr:grpSpPr>
        <xdr:sp macro="" textlink="">
          <xdr:nvSpPr>
            <xdr:cNvPr id="52" name="Rectangle: Rounded Corners 51">
              <a:extLst>
                <a:ext uri="{FF2B5EF4-FFF2-40B4-BE49-F238E27FC236}">
                  <a16:creationId xmlns:a16="http://schemas.microsoft.com/office/drawing/2014/main" id="{FF5E761A-A584-A03C-F484-0D4554E36808}"/>
                </a:ext>
              </a:extLst>
            </xdr:cNvPr>
            <xdr:cNvSpPr/>
          </xdr:nvSpPr>
          <xdr:spPr>
            <a:xfrm>
              <a:off x="10849231" y="2199504"/>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0" name="Group 59">
              <a:extLst>
                <a:ext uri="{FF2B5EF4-FFF2-40B4-BE49-F238E27FC236}">
                  <a16:creationId xmlns:a16="http://schemas.microsoft.com/office/drawing/2014/main" id="{AECFD71E-4B14-B0AF-2517-026EC57B5C3F}"/>
                </a:ext>
              </a:extLst>
            </xdr:cNvPr>
            <xdr:cNvGrpSpPr/>
          </xdr:nvGrpSpPr>
          <xdr:grpSpPr>
            <a:xfrm>
              <a:off x="12222892" y="2409570"/>
              <a:ext cx="2388973" cy="803188"/>
              <a:chOff x="3573162" y="2479590"/>
              <a:chExt cx="2702010" cy="939112"/>
            </a:xfrm>
          </xdr:grpSpPr>
          <xdr:sp macro="" textlink="Supporting_pivots!$G$5">
            <xdr:nvSpPr>
              <xdr:cNvPr id="62" name="TextBox 61">
                <a:extLst>
                  <a:ext uri="{FF2B5EF4-FFF2-40B4-BE49-F238E27FC236}">
                    <a16:creationId xmlns:a16="http://schemas.microsoft.com/office/drawing/2014/main" id="{7D183B01-7FED-DD77-D6FF-CF180A882006}"/>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6316A-FBD9-4D6B-925F-AA5E0A826607}" type="TxLink">
                  <a:rPr lang="en-US" sz="3400" b="1" i="0" u="none" strike="noStrike">
                    <a:solidFill>
                      <a:schemeClr val="accent1"/>
                    </a:solidFill>
                    <a:latin typeface="Segoe UI"/>
                    <a:cs typeface="Segoe UI"/>
                  </a:rPr>
                  <a:pPr algn="ctr"/>
                  <a:t>5552</a:t>
                </a:fld>
                <a:endParaRPr lang="en-IN" sz="3400" b="1">
                  <a:solidFill>
                    <a:schemeClr val="accent1"/>
                  </a:solidFill>
                </a:endParaRPr>
              </a:p>
            </xdr:txBody>
          </xdr:sp>
          <xdr:sp macro="" textlink="Supporting_pivots!$C$5">
            <xdr:nvSpPr>
              <xdr:cNvPr id="63" name="TextBox 62">
                <a:extLst>
                  <a:ext uri="{FF2B5EF4-FFF2-40B4-BE49-F238E27FC236}">
                    <a16:creationId xmlns:a16="http://schemas.microsoft.com/office/drawing/2014/main" id="{A5AE60BA-E03F-4485-396F-683BA7E1AC53}"/>
                  </a:ext>
                </a:extLst>
              </xdr:cNvPr>
              <xdr:cNvSpPr txBox="1"/>
            </xdr:nvSpPr>
            <xdr:spPr>
              <a:xfrm>
                <a:off x="3573162" y="2479590"/>
                <a:ext cx="2702010" cy="3952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Quantity</a:t>
                </a:r>
                <a:r>
                  <a:rPr lang="en-IN" sz="2200" b="1" baseline="0">
                    <a:solidFill>
                      <a:schemeClr val="tx1"/>
                    </a:solidFill>
                  </a:rPr>
                  <a:t> Sold</a:t>
                </a:r>
                <a:endParaRPr lang="en-IN" sz="2200" b="1">
                  <a:solidFill>
                    <a:schemeClr val="tx1"/>
                  </a:solidFill>
                </a:endParaRPr>
              </a:p>
            </xdr:txBody>
          </xdr:sp>
        </xdr:grpSp>
        <xdr:pic>
          <xdr:nvPicPr>
            <xdr:cNvPr id="74" name="Graphic 73" descr="Envelope with solid fill">
              <a:extLst>
                <a:ext uri="{FF2B5EF4-FFF2-40B4-BE49-F238E27FC236}">
                  <a16:creationId xmlns:a16="http://schemas.microsoft.com/office/drawing/2014/main" id="{3CCA7B50-8B42-414F-E626-69FC6CAC2AF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41675" y="2368378"/>
              <a:ext cx="828000" cy="82800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al jadhav" refreshedDate="46288.494579861108" createdVersion="8" refreshedVersion="8" minRefreshableVersion="3" recordCount="2000" xr:uid="{B220C75E-902D-4A7E-AF0D-9F2961A042CF}">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93874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C7183-9548-44C7-9368-2705196A1A79}" name="PT4_AOV"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1A8DD6-272A-41CE-A1FE-85A4615FE673}" name="PT5_Revenue_Month"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9:D2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2">
    <i>
      <x v="1"/>
    </i>
    <i>
      <x v="2"/>
    </i>
    <i>
      <x v="3"/>
    </i>
    <i>
      <x v="4"/>
    </i>
    <i>
      <x v="5"/>
    </i>
    <i>
      <x v="6"/>
    </i>
    <i>
      <x v="7"/>
    </i>
    <i>
      <x v="8"/>
    </i>
    <i>
      <x v="9"/>
    </i>
    <i>
      <x v="10"/>
    </i>
    <i>
      <x v="11"/>
    </i>
    <i>
      <x v="12"/>
    </i>
  </rowItems>
  <colItems count="1">
    <i/>
  </colItems>
  <dataFields count="1">
    <dataField name="Sum of Revenue" fld="11" baseField="13" baseItem="9"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39263-EABD-4E4A-8A8E-F7D22D402291}" name="PT9_Revenue_Top_Products"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O9:P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v="8"/>
    </i>
    <i>
      <x v="10"/>
    </i>
    <i>
      <x v="11"/>
    </i>
    <i>
      <x v="2"/>
    </i>
    <i>
      <x v="22"/>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8C995-8C47-4566-A0C1-5E835CABD067}" name="PT2_Total_Orde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FFDD0-B5CA-463B-A3E0-C075D34CB736}" name="PT6_Revenue_Region"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F9:G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B3B72B-DE47-4D1F-8097-24CD91EF418A}" name="PT1_Total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3A1FBE-B116-4669-9143-0F7F627BC65D}" name="PT3_Total_Quanti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C71F40-12AB-4B9A-AF14-17CA869B31E2}" name="PT7_Revenue_Product_Category"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I9:J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1"/>
    </i>
    <i>
      <x v="2"/>
    </i>
    <i>
      <x v="3"/>
    </i>
    <i>
      <x v="5"/>
    </i>
    <i>
      <x/>
    </i>
    <i>
      <x v="4"/>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EAD83F-1A0E-4264-B071-C8C56C16D255}" name="PT8_Revenue_Sales_Channel"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9:M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x v="3"/>
    </i>
  </rowItems>
  <colItems count="1">
    <i/>
  </colItems>
  <dataFields count="1">
    <dataField name="Total Revenue" fld="11" baseField="0" baseItem="0" numFmtId="164"/>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59D9F0-4F53-4B41-BF91-0449BFAADE93}" sourceName="Region">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BE46A86-F5F6-4598-B8C7-FE941A68EB0C}" sourceName="Sales Channel">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A249AD1-CC22-479A-9060-791C4182F8FB}" sourceName="Customer Type">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082859-E2E9-4F88-980D-665C1D00DF23}" sourceName="Product Category">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A4BEA3-821B-455F-8EC3-5C9A45830294}" cache="Slicer_Region" caption="Region" lockedPosition="1" rowHeight="273050"/>
  <slicer name="Sales Channel" xr10:uid="{03E1C6ED-1903-4E21-A0D0-765F2657D84B}" cache="Slicer_Sales_Channel" caption="Sales Channel" lockedPosition="1" rowHeight="273050"/>
  <slicer name="Customer Type" xr10:uid="{8A8D24B3-A931-4469-BAA5-11108B56927B}" cache="Slicer_Customer_Type" caption="Customer Type" lockedPosition="1" rowHeight="273050"/>
  <slicer name="Product Category" xr10:uid="{0A51EB41-5A01-414D-9E35-34EA2F875362}"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tableColumns count="12">
    <tableColumn id="1" xr3:uid="{EB25C69A-A2D3-4200-91EA-8E3165AF9E00}" name="Order ID"/>
    <tableColumn id="2" xr3:uid="{179518F6-FD6A-41B7-AE5E-75D1AB1D0993}" name="Date" dataDxfId="4"/>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dataDxfId="3"/>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zoomScale="86" zoomScaleNormal="140" workbookViewId="0">
      <selection activeCell="D20" sqref="D20"/>
    </sheetView>
  </sheetViews>
  <sheetFormatPr defaultRowHeight="16.8"/>
  <cols>
    <col min="1" max="1" width="9.796875" bestFit="1" customWidth="1"/>
    <col min="2" max="2" width="10.796875" style="1" bestFit="1" customWidth="1"/>
    <col min="3" max="3" width="13.5" customWidth="1"/>
    <col min="4" max="4" width="19.69921875" customWidth="1"/>
    <col min="5" max="5" width="14" customWidth="1"/>
    <col min="6" max="6" width="20.8984375" customWidth="1"/>
    <col min="7" max="7" width="18.3984375" bestFit="1" customWidth="1"/>
    <col min="8" max="8" width="12.296875" bestFit="1" customWidth="1"/>
    <col min="9" max="9" width="11.8984375" customWidth="1"/>
    <col min="10" max="10" width="12.8984375" style="2" customWidth="1"/>
    <col min="11" max="11" width="11.59765625" style="3" customWidth="1"/>
    <col min="12" max="12" width="11.69921875" style="2" customWidth="1"/>
  </cols>
  <sheetData>
    <row r="1" spans="1:14">
      <c r="A1" t="s">
        <v>0</v>
      </c>
      <c r="B1" s="1" t="s">
        <v>1</v>
      </c>
      <c r="C1" t="s">
        <v>2</v>
      </c>
      <c r="D1" t="s">
        <v>3</v>
      </c>
      <c r="E1" t="s">
        <v>4</v>
      </c>
      <c r="F1" t="s">
        <v>5</v>
      </c>
      <c r="G1" t="s">
        <v>6</v>
      </c>
      <c r="H1" t="s">
        <v>7</v>
      </c>
      <c r="I1" t="s">
        <v>8</v>
      </c>
      <c r="J1" s="2" t="s">
        <v>9</v>
      </c>
      <c r="K1" s="3" t="s">
        <v>10</v>
      </c>
      <c r="L1" s="2" t="s">
        <v>11</v>
      </c>
    </row>
    <row r="2" spans="1:14">
      <c r="A2" t="s">
        <v>12</v>
      </c>
      <c r="B2" s="1">
        <v>46266</v>
      </c>
      <c r="C2" t="s">
        <v>13</v>
      </c>
      <c r="D2" t="s">
        <v>14</v>
      </c>
      <c r="E2" t="s">
        <v>15</v>
      </c>
      <c r="F2" t="s">
        <v>16</v>
      </c>
      <c r="G2" t="s">
        <v>17</v>
      </c>
      <c r="H2" t="s">
        <v>18</v>
      </c>
      <c r="I2">
        <v>3</v>
      </c>
      <c r="J2" s="2">
        <v>14.55</v>
      </c>
      <c r="K2" s="3">
        <v>0</v>
      </c>
      <c r="L2" s="2">
        <v>43.650000000000006</v>
      </c>
    </row>
    <row r="3" spans="1:14">
      <c r="A3" t="s">
        <v>19</v>
      </c>
      <c r="B3" s="1">
        <v>46098</v>
      </c>
      <c r="C3" t="s">
        <v>20</v>
      </c>
      <c r="D3" t="s">
        <v>21</v>
      </c>
      <c r="E3" t="s">
        <v>22</v>
      </c>
      <c r="F3" t="s">
        <v>23</v>
      </c>
      <c r="G3" t="s">
        <v>24</v>
      </c>
      <c r="H3" t="s">
        <v>25</v>
      </c>
      <c r="I3">
        <v>2</v>
      </c>
      <c r="J3" s="2">
        <v>90</v>
      </c>
      <c r="K3" s="3">
        <v>0.03</v>
      </c>
      <c r="L3" s="2">
        <v>174.6</v>
      </c>
    </row>
    <row r="4" spans="1:14">
      <c r="A4" t="s">
        <v>26</v>
      </c>
      <c r="B4" s="1">
        <v>46301</v>
      </c>
      <c r="C4" t="s">
        <v>13</v>
      </c>
      <c r="D4" t="s">
        <v>14</v>
      </c>
      <c r="E4" t="s">
        <v>15</v>
      </c>
      <c r="F4" t="s">
        <v>27</v>
      </c>
      <c r="G4" t="s">
        <v>28</v>
      </c>
      <c r="H4" t="s">
        <v>29</v>
      </c>
      <c r="I4">
        <v>1</v>
      </c>
      <c r="J4" s="2">
        <v>19.399999999999999</v>
      </c>
      <c r="K4" s="3">
        <v>0</v>
      </c>
      <c r="L4" s="2">
        <v>19.399999999999999</v>
      </c>
    </row>
    <row r="5" spans="1:14">
      <c r="A5" t="s">
        <v>30</v>
      </c>
      <c r="B5" s="1">
        <v>46260</v>
      </c>
      <c r="C5" t="s">
        <v>31</v>
      </c>
      <c r="D5" t="s">
        <v>21</v>
      </c>
      <c r="E5" t="s">
        <v>15</v>
      </c>
      <c r="F5" t="s">
        <v>27</v>
      </c>
      <c r="G5" t="s">
        <v>32</v>
      </c>
      <c r="H5" t="s">
        <v>33</v>
      </c>
      <c r="I5">
        <v>5</v>
      </c>
      <c r="J5" s="2">
        <v>280</v>
      </c>
      <c r="K5" s="3">
        <v>0.05</v>
      </c>
      <c r="L5" s="2">
        <v>1330</v>
      </c>
      <c r="N5" s="2"/>
    </row>
    <row r="6" spans="1:14">
      <c r="A6" t="s">
        <v>34</v>
      </c>
      <c r="B6" s="1">
        <v>46257</v>
      </c>
      <c r="C6" t="s">
        <v>31</v>
      </c>
      <c r="D6" t="s">
        <v>35</v>
      </c>
      <c r="E6" t="s">
        <v>22</v>
      </c>
      <c r="F6" t="s">
        <v>27</v>
      </c>
      <c r="G6" t="s">
        <v>36</v>
      </c>
      <c r="H6" t="s">
        <v>33</v>
      </c>
      <c r="I6">
        <v>6</v>
      </c>
      <c r="J6" s="2">
        <v>727.5</v>
      </c>
      <c r="K6" s="3">
        <v>0.05</v>
      </c>
      <c r="L6" s="2">
        <v>4146.75</v>
      </c>
    </row>
    <row r="7" spans="1:14">
      <c r="A7" t="s">
        <v>37</v>
      </c>
      <c r="B7" s="1">
        <v>46093</v>
      </c>
      <c r="C7" t="s">
        <v>31</v>
      </c>
      <c r="D7" t="s">
        <v>14</v>
      </c>
      <c r="E7" t="s">
        <v>22</v>
      </c>
      <c r="F7" t="s">
        <v>23</v>
      </c>
      <c r="G7" t="s">
        <v>38</v>
      </c>
      <c r="H7" t="s">
        <v>39</v>
      </c>
      <c r="I7">
        <v>1</v>
      </c>
      <c r="J7" s="2">
        <v>320</v>
      </c>
      <c r="K7" s="3">
        <v>0.05</v>
      </c>
      <c r="L7" s="2">
        <v>304</v>
      </c>
    </row>
    <row r="8" spans="1:14">
      <c r="A8" t="s">
        <v>40</v>
      </c>
      <c r="B8" s="1">
        <v>46273</v>
      </c>
      <c r="C8" t="s">
        <v>13</v>
      </c>
      <c r="D8" t="s">
        <v>41</v>
      </c>
      <c r="E8" t="s">
        <v>22</v>
      </c>
      <c r="F8" t="s">
        <v>16</v>
      </c>
      <c r="G8" t="s">
        <v>42</v>
      </c>
      <c r="H8" t="s">
        <v>43</v>
      </c>
      <c r="I8">
        <v>2</v>
      </c>
      <c r="J8" s="2">
        <v>45.9</v>
      </c>
      <c r="K8" s="3">
        <v>0</v>
      </c>
      <c r="L8" s="2">
        <v>91.8</v>
      </c>
    </row>
    <row r="9" spans="1:14">
      <c r="A9" t="s">
        <v>44</v>
      </c>
      <c r="B9" s="1">
        <v>46337</v>
      </c>
      <c r="C9" t="s">
        <v>31</v>
      </c>
      <c r="D9" t="s">
        <v>21</v>
      </c>
      <c r="E9" t="s">
        <v>22</v>
      </c>
      <c r="F9" t="s">
        <v>23</v>
      </c>
      <c r="G9" t="s">
        <v>38</v>
      </c>
      <c r="H9" t="s">
        <v>39</v>
      </c>
      <c r="I9">
        <v>1</v>
      </c>
      <c r="J9" s="2">
        <v>320</v>
      </c>
      <c r="K9" s="3">
        <v>0.15</v>
      </c>
      <c r="L9" s="2">
        <v>272</v>
      </c>
    </row>
    <row r="10" spans="1:14">
      <c r="A10" t="s">
        <v>45</v>
      </c>
      <c r="B10" s="1">
        <v>46131</v>
      </c>
      <c r="C10" t="s">
        <v>20</v>
      </c>
      <c r="D10" t="s">
        <v>21</v>
      </c>
      <c r="E10" t="s">
        <v>22</v>
      </c>
      <c r="F10" t="s">
        <v>27</v>
      </c>
      <c r="G10" t="s">
        <v>36</v>
      </c>
      <c r="H10" t="s">
        <v>25</v>
      </c>
      <c r="I10">
        <v>1</v>
      </c>
      <c r="J10" s="2">
        <v>795</v>
      </c>
      <c r="K10" s="3">
        <v>0</v>
      </c>
      <c r="L10" s="2">
        <v>795</v>
      </c>
    </row>
    <row r="11" spans="1:14">
      <c r="A11" t="s">
        <v>46</v>
      </c>
      <c r="B11" s="1">
        <v>46087</v>
      </c>
      <c r="C11" t="s">
        <v>47</v>
      </c>
      <c r="D11" t="s">
        <v>21</v>
      </c>
      <c r="E11" t="s">
        <v>15</v>
      </c>
      <c r="F11" t="s">
        <v>48</v>
      </c>
      <c r="G11" t="s">
        <v>49</v>
      </c>
      <c r="H11" t="s">
        <v>50</v>
      </c>
      <c r="I11">
        <v>4</v>
      </c>
      <c r="J11" s="2">
        <v>4200</v>
      </c>
      <c r="K11" s="3">
        <v>0.1</v>
      </c>
      <c r="L11" s="2">
        <v>15120</v>
      </c>
    </row>
    <row r="12" spans="1:14">
      <c r="A12" t="s">
        <v>51</v>
      </c>
      <c r="B12" s="1">
        <v>46269</v>
      </c>
      <c r="C12" t="s">
        <v>13</v>
      </c>
      <c r="D12" t="s">
        <v>21</v>
      </c>
      <c r="E12" t="s">
        <v>15</v>
      </c>
      <c r="F12" t="s">
        <v>23</v>
      </c>
      <c r="G12" t="s">
        <v>52</v>
      </c>
      <c r="H12" t="s">
        <v>43</v>
      </c>
      <c r="I12">
        <v>2</v>
      </c>
      <c r="J12" s="2">
        <v>450</v>
      </c>
      <c r="K12" s="3">
        <v>0.05</v>
      </c>
      <c r="L12" s="2">
        <v>855</v>
      </c>
    </row>
    <row r="13" spans="1:14">
      <c r="A13" t="s">
        <v>53</v>
      </c>
      <c r="B13" s="1">
        <v>46335</v>
      </c>
      <c r="C13" t="s">
        <v>47</v>
      </c>
      <c r="D13" t="s">
        <v>35</v>
      </c>
      <c r="E13" t="s">
        <v>22</v>
      </c>
      <c r="F13" t="s">
        <v>48</v>
      </c>
      <c r="G13" t="s">
        <v>54</v>
      </c>
      <c r="H13" t="s">
        <v>55</v>
      </c>
      <c r="I13">
        <v>1</v>
      </c>
      <c r="J13" s="2">
        <v>1800</v>
      </c>
      <c r="K13" s="3">
        <v>0.15</v>
      </c>
      <c r="L13" s="2">
        <v>1530</v>
      </c>
    </row>
    <row r="14" spans="1:14">
      <c r="A14" t="s">
        <v>56</v>
      </c>
      <c r="B14" s="1">
        <v>46386</v>
      </c>
      <c r="C14" t="s">
        <v>20</v>
      </c>
      <c r="D14" t="s">
        <v>14</v>
      </c>
      <c r="E14" t="s">
        <v>15</v>
      </c>
      <c r="F14" t="s">
        <v>16</v>
      </c>
      <c r="G14" t="s">
        <v>57</v>
      </c>
      <c r="H14" t="s">
        <v>58</v>
      </c>
      <c r="I14">
        <v>1</v>
      </c>
      <c r="J14" s="2">
        <v>38</v>
      </c>
      <c r="K14" s="3">
        <v>0.05</v>
      </c>
      <c r="L14" s="2">
        <v>36.1</v>
      </c>
    </row>
    <row r="15" spans="1:14">
      <c r="A15" t="s">
        <v>59</v>
      </c>
      <c r="B15" s="1">
        <v>46359</v>
      </c>
      <c r="C15" t="s">
        <v>13</v>
      </c>
      <c r="D15" t="s">
        <v>41</v>
      </c>
      <c r="E15" t="s">
        <v>22</v>
      </c>
      <c r="F15" t="s">
        <v>60</v>
      </c>
      <c r="G15" t="s">
        <v>61</v>
      </c>
      <c r="H15" t="s">
        <v>18</v>
      </c>
      <c r="I15">
        <v>2</v>
      </c>
      <c r="J15" s="2">
        <v>850</v>
      </c>
      <c r="K15" s="3">
        <v>0.2</v>
      </c>
      <c r="L15" s="2">
        <v>1360</v>
      </c>
    </row>
    <row r="16" spans="1:14">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D970-BFA9-41FA-82BA-575FE8E37F2B}">
  <dimension ref="A2:P22"/>
  <sheetViews>
    <sheetView zoomScale="70" zoomScaleNormal="70" workbookViewId="0">
      <selection activeCell="I13" sqref="I13"/>
    </sheetView>
  </sheetViews>
  <sheetFormatPr defaultRowHeight="16.8"/>
  <cols>
    <col min="1" max="1" width="31.59765625" bestFit="1" customWidth="1"/>
    <col min="2" max="2" width="7.59765625" customWidth="1"/>
    <col min="3" max="3" width="13.69921875" bestFit="1" customWidth="1"/>
    <col min="4" max="4" width="15.3984375" bestFit="1" customWidth="1"/>
    <col min="5" max="5" width="11.69921875" bestFit="1" customWidth="1"/>
    <col min="6" max="7" width="13.69921875" bestFit="1" customWidth="1"/>
    <col min="9" max="10" width="13.69921875" bestFit="1" customWidth="1"/>
    <col min="12" max="12" width="14.5" bestFit="1" customWidth="1"/>
    <col min="13" max="13" width="13.69921875" bestFit="1" customWidth="1"/>
    <col min="15" max="15" width="16.19921875" bestFit="1" customWidth="1"/>
    <col min="16" max="16" width="13.69921875" bestFit="1" customWidth="1"/>
  </cols>
  <sheetData>
    <row r="2" spans="1:16" ht="24.6">
      <c r="A2" s="7" t="s">
        <v>2077</v>
      </c>
    </row>
    <row r="3" spans="1:16" ht="20.399999999999999">
      <c r="A3" s="8" t="s">
        <v>2078</v>
      </c>
    </row>
    <row r="4" spans="1:16" ht="20.399999999999999">
      <c r="A4" s="9" t="s">
        <v>2073</v>
      </c>
      <c r="C4" t="s">
        <v>2073</v>
      </c>
      <c r="E4" t="s">
        <v>2076</v>
      </c>
      <c r="G4" t="s">
        <v>2087</v>
      </c>
      <c r="I4" t="s">
        <v>2088</v>
      </c>
    </row>
    <row r="5" spans="1:16" ht="20.399999999999999">
      <c r="A5" s="9" t="s">
        <v>2079</v>
      </c>
      <c r="C5" s="4">
        <v>2452084.3012999957</v>
      </c>
      <c r="E5" s="43">
        <v>2000</v>
      </c>
      <c r="G5" s="43">
        <v>5552</v>
      </c>
      <c r="I5" s="4">
        <v>1226.0421506499979</v>
      </c>
    </row>
    <row r="6" spans="1:16" ht="20.399999999999999">
      <c r="A6" s="9" t="s">
        <v>2080</v>
      </c>
    </row>
    <row r="7" spans="1:16" ht="20.399999999999999">
      <c r="A7" s="9" t="s">
        <v>2081</v>
      </c>
    </row>
    <row r="8" spans="1:16" ht="20.399999999999999">
      <c r="A8" s="9" t="s">
        <v>2082</v>
      </c>
    </row>
    <row r="9" spans="1:16" ht="20.399999999999999">
      <c r="A9" s="9" t="s">
        <v>2083</v>
      </c>
      <c r="C9" s="5" t="s">
        <v>2075</v>
      </c>
      <c r="D9" t="s">
        <v>2072</v>
      </c>
      <c r="F9" s="5" t="s">
        <v>2075</v>
      </c>
      <c r="G9" t="s">
        <v>2073</v>
      </c>
      <c r="I9" s="5" t="s">
        <v>2075</v>
      </c>
      <c r="J9" t="s">
        <v>2073</v>
      </c>
      <c r="L9" s="5" t="s">
        <v>2075</v>
      </c>
      <c r="M9" t="s">
        <v>2073</v>
      </c>
      <c r="O9" s="5" t="s">
        <v>2075</v>
      </c>
      <c r="P9" t="s">
        <v>2073</v>
      </c>
    </row>
    <row r="10" spans="1:16" ht="20.399999999999999">
      <c r="A10" s="9" t="s">
        <v>2084</v>
      </c>
      <c r="C10" s="6" t="s">
        <v>2089</v>
      </c>
      <c r="D10" s="4">
        <v>168680.62810000006</v>
      </c>
      <c r="F10" s="6" t="s">
        <v>47</v>
      </c>
      <c r="G10" s="4">
        <v>556705.17709999974</v>
      </c>
      <c r="I10" s="6" t="s">
        <v>48</v>
      </c>
      <c r="J10" s="4">
        <v>1346491.2599999995</v>
      </c>
      <c r="L10" s="6" t="s">
        <v>35</v>
      </c>
      <c r="M10" s="4">
        <v>718745.00499999954</v>
      </c>
      <c r="O10" s="6" t="s">
        <v>49</v>
      </c>
      <c r="P10" s="4">
        <v>432576.06000000017</v>
      </c>
    </row>
    <row r="11" spans="1:16" ht="20.399999999999999">
      <c r="A11" s="9" t="s">
        <v>2085</v>
      </c>
      <c r="C11" s="6" t="s">
        <v>2090</v>
      </c>
      <c r="D11" s="4">
        <v>173605.24770000001</v>
      </c>
      <c r="F11" s="6" t="s">
        <v>20</v>
      </c>
      <c r="G11" s="4">
        <v>467808.84970000037</v>
      </c>
      <c r="I11" s="6" t="s">
        <v>60</v>
      </c>
      <c r="J11" s="4">
        <v>526744.59000000008</v>
      </c>
      <c r="L11" s="6" t="s">
        <v>41</v>
      </c>
      <c r="M11" s="4">
        <v>310402.93139999988</v>
      </c>
      <c r="O11" s="6" t="s">
        <v>96</v>
      </c>
      <c r="P11" s="4">
        <v>273532.5</v>
      </c>
    </row>
    <row r="12" spans="1:16" ht="20.399999999999999">
      <c r="A12" s="9" t="s">
        <v>2086</v>
      </c>
      <c r="C12" s="6" t="s">
        <v>2091</v>
      </c>
      <c r="D12" s="4">
        <v>236738.69749999995</v>
      </c>
      <c r="F12" s="6" t="s">
        <v>31</v>
      </c>
      <c r="G12" s="4">
        <v>561753.72460000007</v>
      </c>
      <c r="I12" s="6" t="s">
        <v>27</v>
      </c>
      <c r="J12" s="4">
        <v>259475.30900000001</v>
      </c>
      <c r="L12" s="6" t="s">
        <v>14</v>
      </c>
      <c r="M12" s="4">
        <v>791536.99460000044</v>
      </c>
      <c r="O12" s="6" t="s">
        <v>71</v>
      </c>
      <c r="P12" s="4">
        <v>263486.39999999991</v>
      </c>
    </row>
    <row r="13" spans="1:16">
      <c r="C13" s="6" t="s">
        <v>2092</v>
      </c>
      <c r="D13" s="4">
        <v>241034.34019999998</v>
      </c>
      <c r="F13" s="6" t="s">
        <v>86</v>
      </c>
      <c r="G13" s="4">
        <v>444494.30199999973</v>
      </c>
      <c r="I13" s="6" t="s">
        <v>23</v>
      </c>
      <c r="J13" s="4">
        <v>229837.62600000011</v>
      </c>
      <c r="L13" s="6" t="s">
        <v>21</v>
      </c>
      <c r="M13" s="4">
        <v>631399.37030000018</v>
      </c>
      <c r="O13" s="6" t="s">
        <v>99</v>
      </c>
      <c r="P13" s="4">
        <v>254994.00000000003</v>
      </c>
    </row>
    <row r="14" spans="1:16">
      <c r="C14" s="6" t="s">
        <v>2093</v>
      </c>
      <c r="D14" s="4">
        <v>153642.42719999998</v>
      </c>
      <c r="F14" s="6" t="s">
        <v>13</v>
      </c>
      <c r="G14" s="4">
        <v>421322.24789999996</v>
      </c>
      <c r="I14" s="6" t="s">
        <v>16</v>
      </c>
      <c r="J14" s="4">
        <v>72895.258099999992</v>
      </c>
      <c r="O14" s="6" t="s">
        <v>67</v>
      </c>
      <c r="P14" s="4">
        <v>190959.45000000004</v>
      </c>
    </row>
    <row r="15" spans="1:16">
      <c r="C15" s="6" t="s">
        <v>2094</v>
      </c>
      <c r="D15" s="4">
        <v>258658.95200000011</v>
      </c>
      <c r="I15" s="6" t="s">
        <v>73</v>
      </c>
      <c r="J15" s="4">
        <v>16640.258200000007</v>
      </c>
    </row>
    <row r="16" spans="1:16">
      <c r="C16" s="6" t="s">
        <v>2095</v>
      </c>
      <c r="D16" s="4">
        <v>150713.13980000003</v>
      </c>
    </row>
    <row r="17" spans="3:8">
      <c r="C17" s="6" t="s">
        <v>2096</v>
      </c>
      <c r="D17" s="4">
        <v>185321.6210000001</v>
      </c>
    </row>
    <row r="18" spans="3:8">
      <c r="C18" s="6" t="s">
        <v>2097</v>
      </c>
      <c r="D18" s="4">
        <v>233080.36130000014</v>
      </c>
    </row>
    <row r="19" spans="3:8">
      <c r="C19" s="6" t="s">
        <v>2098</v>
      </c>
      <c r="D19" s="4">
        <v>189721.56950000001</v>
      </c>
    </row>
    <row r="20" spans="3:8">
      <c r="C20" s="6" t="s">
        <v>2099</v>
      </c>
      <c r="D20" s="4">
        <v>274368.30580000003</v>
      </c>
    </row>
    <row r="21" spans="3:8">
      <c r="C21" s="6" t="s">
        <v>2100</v>
      </c>
      <c r="D21" s="4">
        <v>186519.01119999995</v>
      </c>
    </row>
    <row r="22" spans="3:8">
      <c r="H22" t="s">
        <v>2074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9F29-1467-4438-B104-FE06E9C36EDF}">
  <dimension ref="A1:AC45"/>
  <sheetViews>
    <sheetView showGridLines="0" showRowColHeaders="0" zoomScale="74" zoomScaleNormal="100" workbookViewId="0">
      <selection activeCell="U7" sqref="U7"/>
    </sheetView>
  </sheetViews>
  <sheetFormatPr defaultRowHeight="16.8"/>
  <cols>
    <col min="24" max="25" width="11.19921875" bestFit="1" customWidth="1"/>
  </cols>
  <sheetData>
    <row r="1" spans="1:29">
      <c r="A1" s="10" t="s">
        <v>2074</v>
      </c>
      <c r="B1" s="10"/>
      <c r="C1" s="10"/>
      <c r="D1" s="10"/>
      <c r="E1" s="38" t="s">
        <v>2102</v>
      </c>
      <c r="F1" s="39"/>
      <c r="G1" s="39"/>
      <c r="H1" s="39"/>
      <c r="I1" s="39"/>
      <c r="J1" s="39"/>
      <c r="K1" s="39"/>
      <c r="L1" s="39"/>
      <c r="M1" s="39"/>
      <c r="N1" s="39"/>
      <c r="O1" s="39"/>
      <c r="P1" s="39"/>
      <c r="Q1" s="39"/>
      <c r="R1" s="39"/>
      <c r="S1" s="39"/>
      <c r="T1" s="39"/>
      <c r="U1" s="39"/>
      <c r="V1" s="39"/>
      <c r="W1" s="39"/>
      <c r="X1" s="39"/>
      <c r="Y1" s="12" t="s">
        <v>2101</v>
      </c>
      <c r="Z1" s="11"/>
      <c r="AA1" s="11"/>
      <c r="AB1" s="11"/>
      <c r="AC1" s="11"/>
    </row>
    <row r="2" spans="1:29">
      <c r="A2" s="10"/>
      <c r="B2" s="10"/>
      <c r="C2" s="10"/>
      <c r="D2" s="10"/>
      <c r="E2" s="39"/>
      <c r="F2" s="39"/>
      <c r="G2" s="39"/>
      <c r="H2" s="39"/>
      <c r="I2" s="39"/>
      <c r="J2" s="39"/>
      <c r="K2" s="39"/>
      <c r="L2" s="39"/>
      <c r="M2" s="39"/>
      <c r="N2" s="39"/>
      <c r="O2" s="39"/>
      <c r="P2" s="39"/>
      <c r="Q2" s="39"/>
      <c r="R2" s="39"/>
      <c r="S2" s="39"/>
      <c r="T2" s="39"/>
      <c r="U2" s="39"/>
      <c r="V2" s="39"/>
      <c r="W2" s="39"/>
      <c r="X2" s="39"/>
      <c r="Y2" s="13">
        <f>MAX(Sales_Data[Date])</f>
        <v>46387</v>
      </c>
      <c r="Z2" s="11"/>
      <c r="AA2" s="11"/>
      <c r="AB2" s="11"/>
      <c r="AC2" s="11"/>
    </row>
    <row r="3" spans="1:29">
      <c r="A3" s="10"/>
      <c r="B3" s="10"/>
      <c r="C3" s="10"/>
      <c r="D3" s="10"/>
      <c r="E3" s="39"/>
      <c r="F3" s="39"/>
      <c r="G3" s="39"/>
      <c r="H3" s="39"/>
      <c r="I3" s="39"/>
      <c r="J3" s="39"/>
      <c r="K3" s="39"/>
      <c r="L3" s="39"/>
      <c r="M3" s="39"/>
      <c r="N3" s="39"/>
      <c r="O3" s="39"/>
      <c r="P3" s="39"/>
      <c r="Q3" s="39"/>
      <c r="R3" s="39"/>
      <c r="S3" s="39"/>
      <c r="T3" s="39"/>
      <c r="U3" s="39"/>
      <c r="V3" s="39"/>
      <c r="W3" s="39"/>
      <c r="X3" s="39"/>
      <c r="Y3" s="11"/>
      <c r="Z3" s="11"/>
      <c r="AA3" s="11"/>
      <c r="AB3" s="11"/>
      <c r="AC3" s="11"/>
    </row>
    <row r="45" spans="1:29">
      <c r="A45" s="14"/>
      <c r="AC45" s="15"/>
    </row>
  </sheetData>
  <sheetProtection sheet="1" objects="1" scenarios="1" selectLockedCells="1" pivotTables="0" selectUnlockedCells="1"/>
  <mergeCells count="1">
    <mergeCell ref="E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0375-4160-4A6D-8C80-C1C7292CAB57}">
  <dimension ref="A1:D13"/>
  <sheetViews>
    <sheetView topLeftCell="A3" zoomScale="72" zoomScaleNormal="72" workbookViewId="0">
      <selection activeCell="C20" sqref="C20"/>
    </sheetView>
  </sheetViews>
  <sheetFormatPr defaultRowHeight="16.8"/>
  <cols>
    <col min="1" max="1" width="6.8984375" customWidth="1"/>
    <col min="2" max="2" width="45.5" customWidth="1"/>
    <col min="3" max="3" width="99.09765625" customWidth="1"/>
    <col min="4" max="4" width="46" customWidth="1"/>
  </cols>
  <sheetData>
    <row r="1" spans="1:4">
      <c r="B1" s="40" t="s">
        <v>2115</v>
      </c>
      <c r="C1" s="41"/>
      <c r="D1" s="41"/>
    </row>
    <row r="2" spans="1:4">
      <c r="B2" s="42"/>
      <c r="C2" s="42"/>
      <c r="D2" s="42"/>
    </row>
    <row r="3" spans="1:4" ht="50.4" customHeight="1">
      <c r="A3" s="32" t="s">
        <v>2142</v>
      </c>
      <c r="B3" s="34" t="s">
        <v>2103</v>
      </c>
      <c r="C3" s="34" t="s">
        <v>2143</v>
      </c>
      <c r="D3" s="34" t="s">
        <v>2104</v>
      </c>
    </row>
    <row r="4" spans="1:4" ht="50.4" customHeight="1">
      <c r="A4" s="33">
        <v>1</v>
      </c>
      <c r="B4" s="35" t="s">
        <v>2105</v>
      </c>
      <c r="C4" s="16" t="s">
        <v>2144</v>
      </c>
      <c r="D4" s="35" t="s">
        <v>2145</v>
      </c>
    </row>
    <row r="5" spans="1:4" ht="50.4" customHeight="1">
      <c r="A5" s="33">
        <v>2</v>
      </c>
      <c r="B5" s="35" t="s">
        <v>2106</v>
      </c>
      <c r="C5" s="16" t="s">
        <v>2146</v>
      </c>
      <c r="D5" s="35" t="s">
        <v>2145</v>
      </c>
    </row>
    <row r="6" spans="1:4" ht="50.4" customHeight="1">
      <c r="A6" s="33">
        <v>3</v>
      </c>
      <c r="B6" s="35" t="s">
        <v>2107</v>
      </c>
      <c r="C6" s="16" t="s">
        <v>2147</v>
      </c>
      <c r="D6" s="35" t="s">
        <v>2145</v>
      </c>
    </row>
    <row r="7" spans="1:4" ht="50.4" customHeight="1">
      <c r="A7" s="33">
        <v>4</v>
      </c>
      <c r="B7" s="35" t="s">
        <v>2108</v>
      </c>
      <c r="C7" s="35" t="s">
        <v>2148</v>
      </c>
      <c r="D7" s="35" t="s">
        <v>2145</v>
      </c>
    </row>
    <row r="8" spans="1:4" ht="50.4" customHeight="1">
      <c r="A8" s="33">
        <v>5</v>
      </c>
      <c r="B8" s="35" t="s">
        <v>2109</v>
      </c>
      <c r="C8" s="35" t="s">
        <v>2149</v>
      </c>
      <c r="D8" s="35" t="s">
        <v>2145</v>
      </c>
    </row>
    <row r="9" spans="1:4" ht="50.4" customHeight="1">
      <c r="A9" s="33">
        <v>6</v>
      </c>
      <c r="B9" s="35" t="s">
        <v>2110</v>
      </c>
      <c r="C9" s="35" t="s">
        <v>2150</v>
      </c>
      <c r="D9" s="35" t="s">
        <v>2151</v>
      </c>
    </row>
    <row r="10" spans="1:4" ht="50.4" customHeight="1">
      <c r="A10" s="33">
        <v>7</v>
      </c>
      <c r="B10" s="35" t="s">
        <v>2111</v>
      </c>
      <c r="C10" s="35" t="s">
        <v>2152</v>
      </c>
      <c r="D10" s="35" t="s">
        <v>2153</v>
      </c>
    </row>
    <row r="11" spans="1:4" ht="50.4" customHeight="1">
      <c r="A11" s="33">
        <v>8</v>
      </c>
      <c r="B11" s="35" t="s">
        <v>2112</v>
      </c>
      <c r="C11" s="35" t="s">
        <v>2154</v>
      </c>
      <c r="D11" s="35" t="s">
        <v>2151</v>
      </c>
    </row>
    <row r="12" spans="1:4" ht="50.4" customHeight="1">
      <c r="A12" s="33">
        <v>9</v>
      </c>
      <c r="B12" s="35" t="s">
        <v>2113</v>
      </c>
      <c r="C12" s="35" t="s">
        <v>2155</v>
      </c>
      <c r="D12" s="35" t="s">
        <v>2156</v>
      </c>
    </row>
    <row r="13" spans="1:4" ht="50.4" customHeight="1">
      <c r="A13" s="33">
        <v>10</v>
      </c>
      <c r="B13" s="35" t="s">
        <v>2114</v>
      </c>
      <c r="C13" s="35" t="s">
        <v>2157</v>
      </c>
      <c r="D13" s="35" t="s">
        <v>2151</v>
      </c>
    </row>
  </sheetData>
  <mergeCells count="1">
    <mergeCell ref="B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965F-E0C1-4FAA-87EF-B54615D2790E}">
  <dimension ref="A1:I18"/>
  <sheetViews>
    <sheetView showGridLines="0" tabSelected="1" zoomScale="90" zoomScaleNormal="90" workbookViewId="0">
      <selection activeCell="H18" sqref="H18"/>
    </sheetView>
  </sheetViews>
  <sheetFormatPr defaultRowHeight="16.8"/>
  <cols>
    <col min="1" max="1" width="24.796875" bestFit="1" customWidth="1"/>
    <col min="2" max="2" width="13.59765625" customWidth="1"/>
    <col min="3" max="3" width="14" customWidth="1"/>
    <col min="4" max="4" width="20.19921875" bestFit="1" customWidth="1"/>
    <col min="5" max="5" width="17.8984375" customWidth="1"/>
    <col min="6" max="6" width="18.296875" customWidth="1"/>
    <col min="7" max="7" width="27.796875" bestFit="1" customWidth="1"/>
    <col min="8" max="8" width="13.5" bestFit="1" customWidth="1"/>
    <col min="9" max="9" width="37.296875" bestFit="1" customWidth="1"/>
  </cols>
  <sheetData>
    <row r="1" spans="1:9" ht="16.8" customHeight="1">
      <c r="A1" s="36" t="s">
        <v>2116</v>
      </c>
      <c r="B1" s="37"/>
      <c r="C1" s="37"/>
      <c r="D1" s="37"/>
      <c r="E1" s="37"/>
    </row>
    <row r="2" spans="1:9" ht="19.2" customHeight="1">
      <c r="A2" s="37"/>
      <c r="B2" s="37"/>
      <c r="C2" s="37"/>
      <c r="D2" s="37"/>
      <c r="E2" s="37"/>
      <c r="G2" s="16" t="s">
        <v>2130</v>
      </c>
      <c r="H2" s="25" t="s">
        <v>2131</v>
      </c>
      <c r="I2" s="25" t="s">
        <v>2132</v>
      </c>
    </row>
    <row r="3" spans="1:9" ht="20.399999999999999">
      <c r="A3" s="20" t="s">
        <v>2117</v>
      </c>
      <c r="B3" s="20" t="s">
        <v>11</v>
      </c>
      <c r="C3" s="20" t="s">
        <v>8</v>
      </c>
      <c r="D3" s="20" t="s">
        <v>9</v>
      </c>
      <c r="E3" s="20" t="s">
        <v>10</v>
      </c>
      <c r="G3" s="25" t="s">
        <v>2127</v>
      </c>
      <c r="H3" s="26">
        <f>CORREL(Sales_Data!I:I,Sales_Data!L:L)</f>
        <v>-4.0368067279895684E-3</v>
      </c>
      <c r="I3" s="17" t="s">
        <v>2133</v>
      </c>
    </row>
    <row r="4" spans="1:9" ht="22.2" customHeight="1">
      <c r="A4" s="16" t="s">
        <v>2118</v>
      </c>
      <c r="B4" s="21">
        <f>AVERAGE(Sales_Data[Revenue])</f>
        <v>1226.0421506499979</v>
      </c>
      <c r="C4" s="22">
        <f>AVERAGE(Sales_Data[Quantity])</f>
        <v>2.7759999999999998</v>
      </c>
      <c r="D4" s="22">
        <f>AVERAGE(Sales_Data[Unit Price])</f>
        <v>754.28405000000032</v>
      </c>
      <c r="E4" s="23">
        <f>AVERAGE(Sales_Data[Discount])</f>
        <v>7.3809999999999945E-2</v>
      </c>
      <c r="G4" s="25" t="s">
        <v>2128</v>
      </c>
      <c r="H4" s="26">
        <f>CORREL(Sales_Data!J:J,Sales_Data!L:L)</f>
        <v>0.7813326821322345</v>
      </c>
      <c r="I4" s="18" t="s">
        <v>2134</v>
      </c>
    </row>
    <row r="5" spans="1:9" ht="25.2" customHeight="1">
      <c r="A5" s="16" t="s">
        <v>2119</v>
      </c>
      <c r="B5" s="21">
        <f>MEDIAN(Sales_Data[Revenue])</f>
        <v>406.55250000000001</v>
      </c>
      <c r="C5" s="22">
        <f>MEDIAN(Sales_Data[Quantity])</f>
        <v>2</v>
      </c>
      <c r="D5" s="22">
        <f>MEDIAN(Sales_Data[Unit Price])</f>
        <v>180</v>
      </c>
      <c r="E5" s="23">
        <f>MEDIAN(Sales_Data[Discount])</f>
        <v>0.08</v>
      </c>
      <c r="G5" s="25" t="s">
        <v>2129</v>
      </c>
      <c r="H5" s="27">
        <f>CORREL(Sales_Data!K:K,Sales_Data!L:L)</f>
        <v>-2.3520931883521969E-2</v>
      </c>
      <c r="I5" s="19" t="s">
        <v>2133</v>
      </c>
    </row>
    <row r="6" spans="1:9" ht="25.8" customHeight="1">
      <c r="A6" s="16" t="s">
        <v>2120</v>
      </c>
      <c r="B6" s="21">
        <f>MIN(Sales_Data[Revenue])</f>
        <v>6.2080000000000002</v>
      </c>
      <c r="C6" s="22">
        <f>MIN(Sales_Data[Quantity])</f>
        <v>1</v>
      </c>
      <c r="D6" s="22">
        <f>MIN(Sales_Data[Unit Price])</f>
        <v>7.6</v>
      </c>
      <c r="E6" s="23">
        <f>MIN(Sales_Data[Discount])</f>
        <v>0</v>
      </c>
    </row>
    <row r="7" spans="1:9" ht="26.4" customHeight="1">
      <c r="A7" s="16" t="s">
        <v>2121</v>
      </c>
      <c r="B7" s="21">
        <f>MAX(Sales_Data[Revenue])</f>
        <v>16074.240000000002</v>
      </c>
      <c r="C7" s="22">
        <f>MAX(Sales_Data[Quantity])</f>
        <v>15</v>
      </c>
      <c r="D7" s="22">
        <f>MAX(Sales_Data[Unit Price])</f>
        <v>4452</v>
      </c>
      <c r="E7" s="23">
        <f>MAX(Sales_Data[Discount])</f>
        <v>0.2</v>
      </c>
    </row>
    <row r="8" spans="1:9" ht="40.200000000000003" customHeight="1">
      <c r="A8" s="16" t="s">
        <v>2122</v>
      </c>
      <c r="B8" s="21">
        <f>_xlfn.STDEV.S(Sales_Data[Revenue])</f>
        <v>1853.1226455056344</v>
      </c>
      <c r="C8" s="22">
        <f>_xlfn.STDEV.S(Sales_Data[Quantity])</f>
        <v>2.11519763391397</v>
      </c>
      <c r="D8" s="22">
        <f>_xlfn.STDEV.S(Sales_Data[Unit Price])</f>
        <v>1127.7850176449888</v>
      </c>
      <c r="E8" s="23">
        <f>_xlfn.STDEV.S(Sales_Data[Discount])</f>
        <v>5.4423017487236998E-2</v>
      </c>
      <c r="G8" s="25" t="s">
        <v>2073</v>
      </c>
      <c r="H8" s="28">
        <f>SUM(Sales_Data[Revenue])</f>
        <v>2452084.3012999957</v>
      </c>
    </row>
    <row r="9" spans="1:9" ht="23.4" customHeight="1">
      <c r="A9" s="16" t="s">
        <v>2123</v>
      </c>
      <c r="B9" s="21">
        <f>_xlfn.QUARTILE.INC(Sales_Data[Revenue],1)</f>
        <v>92.403499999999994</v>
      </c>
      <c r="C9" s="21">
        <f>_xlfn.QUARTILE.INC(Sales_Data[Quantity],1)</f>
        <v>1</v>
      </c>
      <c r="D9" s="21">
        <f>_xlfn.QUARTILE.INC(Sales_Data[Unit Price],1)</f>
        <v>42.75</v>
      </c>
      <c r="E9" s="23">
        <f>_xlfn.QUARTILE.INC(Sales_Data[Discount],1)</f>
        <v>0.03</v>
      </c>
      <c r="G9" s="25" t="s">
        <v>2079</v>
      </c>
      <c r="H9" s="29">
        <f>COUNTA(Sales_Data[Order ID])</f>
        <v>2000</v>
      </c>
    </row>
    <row r="10" spans="1:9" ht="22.2" customHeight="1">
      <c r="A10" s="16" t="s">
        <v>2124</v>
      </c>
      <c r="B10" s="21">
        <f>_xlfn.QUARTILE.INC(Sales_Data[Revenue],3)</f>
        <v>1700.136</v>
      </c>
      <c r="C10" s="21">
        <f>_xlfn.QUARTILE.INC(Sales_Data[Quantity],3)</f>
        <v>4</v>
      </c>
      <c r="D10" s="21">
        <f>_xlfn.QUARTILE.INC(Sales_Data[Unit Price],3)</f>
        <v>807.5</v>
      </c>
      <c r="E10" s="23">
        <f>_xlfn.QUARTILE.INC(Sales_Data[Discount],3)</f>
        <v>0.1</v>
      </c>
      <c r="G10" s="25" t="s">
        <v>2087</v>
      </c>
      <c r="H10" s="29">
        <f>SUM(Sales_Data[Quantity])</f>
        <v>5552</v>
      </c>
    </row>
    <row r="11" spans="1:9" ht="19.2" customHeight="1">
      <c r="A11" s="16" t="s">
        <v>2125</v>
      </c>
      <c r="B11" s="24">
        <f>B10-B9</f>
        <v>1607.7325000000001</v>
      </c>
      <c r="C11" s="24">
        <f t="shared" ref="C11" si="0">C10-C9</f>
        <v>3</v>
      </c>
      <c r="D11" s="21">
        <f>D10-D9</f>
        <v>764.75</v>
      </c>
      <c r="E11" s="23">
        <f>E10-E9</f>
        <v>7.0000000000000007E-2</v>
      </c>
      <c r="G11" s="25" t="s">
        <v>2126</v>
      </c>
      <c r="H11" s="30">
        <f>H8/H9</f>
        <v>1226.0421506499979</v>
      </c>
    </row>
    <row r="13" spans="1:9">
      <c r="B13" s="2"/>
    </row>
    <row r="15" spans="1:9" ht="42.6" customHeight="1">
      <c r="G15" s="16" t="s">
        <v>2141</v>
      </c>
      <c r="H15" s="25" t="s">
        <v>2131</v>
      </c>
      <c r="I15" s="25" t="s">
        <v>2132</v>
      </c>
    </row>
    <row r="16" spans="1:9" ht="38.4" customHeight="1">
      <c r="G16" s="25" t="s">
        <v>2140</v>
      </c>
      <c r="H16" s="21">
        <f>Statistical_Analysis!B10+1.5*Statistical_Analysis!B11</f>
        <v>4111.7347499999996</v>
      </c>
      <c r="I16" s="19" t="s">
        <v>2139</v>
      </c>
    </row>
    <row r="17" spans="7:9" ht="39" customHeight="1">
      <c r="G17" s="25" t="s">
        <v>2138</v>
      </c>
      <c r="H17" s="31">
        <f>COUNTIF(Sales_Data[Revenue],"&gt;"&amp;H16)</f>
        <v>124</v>
      </c>
      <c r="I17" s="19" t="s">
        <v>2137</v>
      </c>
    </row>
    <row r="18" spans="7:9" ht="39" customHeight="1">
      <c r="G18" s="25" t="s">
        <v>2136</v>
      </c>
      <c r="H18" s="23">
        <f>H17/COUNTA(Sales_Data[Order ID])</f>
        <v>6.2E-2</v>
      </c>
      <c r="I18" s="19" t="s">
        <v>2135</v>
      </c>
    </row>
  </sheetData>
  <mergeCells count="1">
    <mergeCell ref="A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Supporting_pivots</vt:lpstr>
      <vt:lpstr>Sales_Dashboard</vt:lpstr>
      <vt:lpstr>Business_Questions</vt:lpstr>
      <vt:lpstr>Statistical_Analysis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Mrunal jadhav</cp:lastModifiedBy>
  <dcterms:created xsi:type="dcterms:W3CDTF">2015-06-05T18:17:20Z</dcterms:created>
  <dcterms:modified xsi:type="dcterms:W3CDTF">2026-10-11T04:36:21Z</dcterms:modified>
</cp:coreProperties>
</file>